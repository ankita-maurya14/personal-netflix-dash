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wilpbitspilaniacin0-my.sharepoint.com/personal/2022jp15017_wilp_bits-pilani_ac_in/Documents/"/>
    </mc:Choice>
  </mc:AlternateContent>
  <xr:revisionPtr revIDLastSave="662" documentId="8_{05B39CB3-050E-41F6-9852-6FA014B21F5A}" xr6:coauthVersionLast="47" xr6:coauthVersionMax="47" xr10:uidLastSave="{8ABBD0DC-B3DE-4D9F-9C49-DDB621F1EE64}"/>
  <bookViews>
    <workbookView xWindow="-120" yWindow="-120" windowWidth="29040" windowHeight="16440" firstSheet="1" activeTab="7" xr2:uid="{93EB9069-AFBC-44D6-9B84-1C71A9282DF2}"/>
  </bookViews>
  <sheets>
    <sheet name="TITLE BY YEAR" sheetId="14" r:id="rId1"/>
    <sheet name="MOVIR VS SERIES" sheetId="15" r:id="rId2"/>
    <sheet name="TITLE BY GENRE" sheetId="16" r:id="rId3"/>
    <sheet name="TITLE BY SEASONS" sheetId="19" r:id="rId4"/>
    <sheet name="TITLE BY COUNTRY" sheetId="26" r:id="rId5"/>
    <sheet name="TITLE BY RATING" sheetId="30" r:id="rId6"/>
    <sheet name="netdata" sheetId="1" r:id="rId7"/>
    <sheet name="DASHBOARD" sheetId="23" r:id="rId8"/>
  </sheets>
  <definedNames>
    <definedName name="_xlnm._FilterDatabase" localSheetId="6" hidden="1">netdata!$B$1:$B$22</definedName>
    <definedName name="Slicer_GENRE">#N/A</definedName>
    <definedName name="Slicer_RELESE_YEAR">#N/A</definedName>
    <definedName name="Slicer_SEASONS">#N/A</definedName>
    <definedName name="Slicer_TITLE">#N/A</definedName>
    <definedName name="Slicer_TYPE">#N/A</definedName>
    <definedName name="Slicer_type2">#N/A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5" i="1" l="1"/>
  <c r="N14" i="1"/>
  <c r="L14" i="1"/>
  <c r="L15" i="1"/>
  <c r="L4" i="1"/>
  <c r="L5" i="1"/>
  <c r="L6" i="1"/>
  <c r="L16" i="1"/>
  <c r="L2" i="1"/>
  <c r="L7" i="1"/>
  <c r="L8" i="1"/>
  <c r="L17" i="1"/>
  <c r="L9" i="1"/>
  <c r="L22" i="1"/>
  <c r="L10" i="1"/>
  <c r="L11" i="1"/>
  <c r="L12" i="1"/>
  <c r="L18" i="1"/>
  <c r="L19" i="1"/>
  <c r="L13" i="1"/>
  <c r="L20" i="1"/>
  <c r="L3" i="1"/>
  <c r="L21" i="1"/>
  <c r="L1" i="1"/>
</calcChain>
</file>

<file path=xl/sharedStrings.xml><?xml version="1.0" encoding="utf-8"?>
<sst xmlns="http://schemas.openxmlformats.org/spreadsheetml/2006/main" count="279" uniqueCount="134">
  <si>
    <t>TITLE</t>
  </si>
  <si>
    <t>TYPE</t>
  </si>
  <si>
    <t>COUNTRY</t>
  </si>
  <si>
    <t>DATE_RELEASED</t>
  </si>
  <si>
    <t>RELESE_YEAR</t>
  </si>
  <si>
    <t>RATING</t>
  </si>
  <si>
    <t>DURATION</t>
  </si>
  <si>
    <t>GENRE</t>
  </si>
  <si>
    <t>DISCRIPTION</t>
  </si>
  <si>
    <t>BROOKLYN NINE-NINE</t>
  </si>
  <si>
    <t>TV SERIES</t>
  </si>
  <si>
    <t>SEASONS</t>
  </si>
  <si>
    <t>DANIEL J.GOOR,MICHEAL SCHUR</t>
  </si>
  <si>
    <t>UNITED STATES</t>
  </si>
  <si>
    <t>U/A 16+</t>
  </si>
  <si>
    <t>20 MINUTES</t>
  </si>
  <si>
    <t>SITCOMES,COMEDY,CRIMES</t>
  </si>
  <si>
    <t>A talented but carefree New York detective and his diverse team solve crimes while navigating quirky office dynamics in Brooklyn’s 99th precinct.</t>
  </si>
  <si>
    <t>THE DIPLOMAT</t>
  </si>
  <si>
    <t>MOVIE</t>
  </si>
  <si>
    <t>SHIVAM NAIR</t>
  </si>
  <si>
    <t>INDIA</t>
  </si>
  <si>
    <t>2H 12M</t>
  </si>
  <si>
    <t>DRAMAS ,SOCIAL ISSUE</t>
  </si>
  <si>
    <t>Two stories,two countries.one diplomat.when a women claims she was forced to marry in pakistan,one man navigates international tensions to help her.</t>
  </si>
  <si>
    <t>FRIENDS</t>
  </si>
  <si>
    <t>DAVID CRANE,MARTA KAUFFMAN</t>
  </si>
  <si>
    <t>25M</t>
  </si>
  <si>
    <t>SITCOMES,COMEDIES</t>
  </si>
  <si>
    <t>Six young adults living in New York City navigate love, work, and friendship as they deal with life’s ups and downs — always finding time for coffee and laughs at Central Perk.</t>
  </si>
  <si>
    <t>THE GOOD DOCTOR</t>
  </si>
  <si>
    <t>DAVIS SHORE</t>
  </si>
  <si>
    <t>45M</t>
  </si>
  <si>
    <t>MEDICAL TV,DRAMAS,SOCIAL ISSUE</t>
  </si>
  <si>
    <t>A young surgeon with autism and savant syndrome navigates the challenges of a prestigious hospital, proving his worth through exceptional medical skills.</t>
  </si>
  <si>
    <t>BIG BANG THEORY</t>
  </si>
  <si>
    <t>CHUCK LORRY,BILL PRADY</t>
  </si>
  <si>
    <t>COMEDY</t>
  </si>
  <si>
    <t>A sitcom about socially awkward physicists Leonard and Sheldon, whose lives change when Penny moves in next door.</t>
  </si>
  <si>
    <t>SUITES</t>
  </si>
  <si>
    <t>AaRON KORSH</t>
  </si>
  <si>
    <t>50M</t>
  </si>
  <si>
    <t>DRAMA,COURTROOM TV</t>
  </si>
  <si>
    <t>A college dropout with a sharp mind becomes a law associate, keeping his secret while handling high-profile cases.</t>
  </si>
  <si>
    <t>MONICA O MY DARLING</t>
  </si>
  <si>
    <t>VASAN BALA</t>
  </si>
  <si>
    <t>1H 39M</t>
  </si>
  <si>
    <t>CRIME,COMEDY,DRAMA</t>
  </si>
  <si>
    <t>Dark comedy meets murder mayhem in this mystry-thriller starring rajkumar rao,huma queresi,radhika apte.</t>
  </si>
  <si>
    <t>DEMON SLAYER</t>
  </si>
  <si>
    <t>ANIME</t>
  </si>
  <si>
    <t>Kimetsu no Yaiba</t>
  </si>
  <si>
    <t>JAPAN</t>
  </si>
  <si>
    <t>SCI-FI,ACTION</t>
  </si>
  <si>
    <t>After a demon attack leaves his family slain and his sister cursed, Tanjiro embarks upon a perilous journey to find a cure and avenge those he's lost.</t>
  </si>
  <si>
    <t>EMERGENCY</t>
  </si>
  <si>
    <t>KANGANA RANIUT</t>
  </si>
  <si>
    <t>A</t>
  </si>
  <si>
    <t>2H24M</t>
  </si>
  <si>
    <t>SOCIAL ISSU,BASED ON REAL LIFE</t>
  </si>
  <si>
    <t>This political biopic charts the series and fall of indian prime minister indira gandhi during the tense and turbulent events of the emergrncy in 1975.</t>
  </si>
  <si>
    <t>DABBA CARTEL</t>
  </si>
  <si>
    <t>Hitesh Bhatia</t>
  </si>
  <si>
    <t>DRAMA,CRIME,THRILLER</t>
  </si>
  <si>
    <t>Five middle-class women in Mumbai transform their lunchbox delivery service into a front for a high-stakes drug operation, navigating crime, betrayal, and law enforcement.</t>
  </si>
  <si>
    <t>MAD SQUARE</t>
  </si>
  <si>
    <t>KALYAN SHANKAR</t>
  </si>
  <si>
    <t>COMEDY,ACTION</t>
  </si>
  <si>
    <t>College friends manoj,ashok and damodar take laddu to goa after ruiniong his wedding,but soon land in much deeper trouble.</t>
  </si>
  <si>
    <t>YOUNG SHELDON</t>
  </si>
  <si>
    <t>CHUCK LORRY,STEVE MOLARO</t>
  </si>
  <si>
    <t>U/A13+</t>
  </si>
  <si>
    <t>FAMILY/COMED</t>
  </si>
  <si>
    <t>A child prodigy navigates high school and family life in East Texas during the late 1980s and early 1990s.</t>
  </si>
  <si>
    <t>20M</t>
  </si>
  <si>
    <t>WHEN LIGE GIVES YOU TANGRIES</t>
  </si>
  <si>
    <t>KDRAMA SERIES</t>
  </si>
  <si>
    <t>KIM WON-SUK,LIM SANG-CHOON</t>
  </si>
  <si>
    <t>KOREA</t>
  </si>
  <si>
    <t>60M</t>
  </si>
  <si>
    <t>ROMANTIC,DRAMA</t>
  </si>
  <si>
    <t>A heartfelt tale of Ae-sun and Gwan-sik's enduring love, set against the evolving backdrop of Jeju Island from the 1960s to present day.</t>
  </si>
  <si>
    <t>DAAKU MAHARAJ</t>
  </si>
  <si>
    <t>K.S.RAVINDRA</t>
  </si>
  <si>
    <t>2H23M</t>
  </si>
  <si>
    <t>CRIME,ACTION</t>
  </si>
  <si>
    <t>When poerful forces theraten a young girl,a feraless man with a criminal past steps in to protect her and the community from danger</t>
  </si>
  <si>
    <t>STRANGER THINGS</t>
  </si>
  <si>
    <t>THE DUFFER BROTHERS</t>
  </si>
  <si>
    <t>DEAMA,SCI-FI,TEEN,HORROR</t>
  </si>
  <si>
    <t>In 1980s Indiana, a group of young friends witness supernatural forces and secret government exploits as they search for their missing friend.</t>
  </si>
  <si>
    <t>EXTERRITORIAL</t>
  </si>
  <si>
    <t>CHRISTIAN ZUBERT</t>
  </si>
  <si>
    <t>1H49M</t>
  </si>
  <si>
    <t>GERMAN,ACTION</t>
  </si>
  <si>
    <t>When her son vanishes Inside a us consulate,ex-special forces soldiea sara does everything in her power to find hime and undercovers a dark conspiracy.</t>
  </si>
  <si>
    <t>COURT STATE VS NOBODY</t>
  </si>
  <si>
    <t>RAM JAGDEESH</t>
  </si>
  <si>
    <t>2H39M</t>
  </si>
  <si>
    <t>DRAMA,SOCIAL ISSUE</t>
  </si>
  <si>
    <t>A driven attorney battles a corrupt justice system to defend a young man whose relationship with a 17 year old girl provokes her ruthless family ire.</t>
  </si>
  <si>
    <t xml:space="preserve">CHAVVA </t>
  </si>
  <si>
    <t>LAXMAN UTEKAR</t>
  </si>
  <si>
    <t>2H37M</t>
  </si>
  <si>
    <t>Rebellion war and consipiracy collide as sambhaji maharaj lead the maratha empire into battele in this violent historical drama</t>
  </si>
  <si>
    <t>NADANIYAAN</t>
  </si>
  <si>
    <t>SHAUNA GAUTAM</t>
  </si>
  <si>
    <t>1H59M</t>
  </si>
  <si>
    <t>COMEDY,ROMANCE,TEEN</t>
  </si>
  <si>
    <t>When affluent pia hires bariny teen arjun to be her fake boyfriend,life at their elite delhi school gets complicated.</t>
  </si>
  <si>
    <t>SAMEER SAXENA</t>
  </si>
  <si>
    <t>40M</t>
  </si>
  <si>
    <t>DRAMA,COMEDY,COURTROOM TV</t>
  </si>
  <si>
    <t>A courtroom comedy series set in the fictional Patparganj District Court, following eccentric lawyers handling bizarre cases with humor.</t>
  </si>
  <si>
    <t>MAAMLA LEGAL HAI</t>
  </si>
  <si>
    <t>JEWEL THEIF</t>
  </si>
  <si>
    <t>KOOKIE GULATI,ROBBIE GREWEL</t>
  </si>
  <si>
    <t>1H57M</t>
  </si>
  <si>
    <t>A master thief dodges cops to steal one of the worlds diamonds when a pilitess criminal threaten his family.from siddharth anand.</t>
  </si>
  <si>
    <t>CREATOR</t>
  </si>
  <si>
    <t>BASED ON BOOKS,MILITATRY MOVIE</t>
  </si>
  <si>
    <t>type</t>
  </si>
  <si>
    <t>count</t>
  </si>
  <si>
    <t>movie</t>
  </si>
  <si>
    <t>tv series</t>
  </si>
  <si>
    <t>user input</t>
  </si>
  <si>
    <t>search</t>
  </si>
  <si>
    <t>Row Labels</t>
  </si>
  <si>
    <t>(blank)</t>
  </si>
  <si>
    <t>Grand Total</t>
  </si>
  <si>
    <t>Sum of RELESE_YEAR</t>
  </si>
  <si>
    <t>Sum of count</t>
  </si>
  <si>
    <t>Count of TITLE</t>
  </si>
  <si>
    <t>Sum of SEASONS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</si>
</sst>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12"/>
      <color theme="1"/>
      <name val="Aptos Narrow"/>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0"/>
        <bgColor indexed="64"/>
      </patternFill>
    </fill>
    <fill>
      <patternFill patternType="solid">
        <fgColor rgb="FF1F1F1F"/>
        <bgColor indexed="64"/>
      </patternFill>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0" fontId="0" fillId="0" borderId="0" xfId="0" applyAlignment="1">
      <alignment vertical="center"/>
    </xf>
    <xf numFmtId="0" fontId="0" fillId="0" borderId="0" xfId="0" applyAlignment="1">
      <alignment horizontal="left" vertical="center"/>
    </xf>
    <xf numFmtId="0" fontId="1" fillId="0" borderId="0" xfId="0" applyFont="1"/>
    <xf numFmtId="14" fontId="0" fillId="0" borderId="0" xfId="0" applyNumberFormat="1" applyAlignment="1">
      <alignment vertical="center"/>
    </xf>
    <xf numFmtId="0" fontId="0" fillId="0" borderId="0" xfId="0" pivotButton="1"/>
    <xf numFmtId="0" fontId="0" fillId="0" borderId="0" xfId="0" applyAlignment="1">
      <alignment horizontal="left"/>
    </xf>
    <xf numFmtId="0" fontId="0" fillId="2" borderId="0" xfId="0" applyFill="1"/>
    <xf numFmtId="0" fontId="0" fillId="3" borderId="0" xfId="0" applyFill="1"/>
    <xf numFmtId="0" fontId="0" fillId="4" borderId="0" xfId="0" applyFill="1"/>
    <xf numFmtId="0" fontId="0" fillId="0" borderId="0" xfId="0" applyNumberFormat="1"/>
  </cellXfs>
  <cellStyles count="1">
    <cellStyle name="Normal" xfId="0" builtinId="0"/>
  </cellStyles>
  <dxfs count="8">
    <dxf>
      <font>
        <b/>
        <i val="0"/>
        <sz val="11"/>
        <color theme="0"/>
      </font>
      <fill>
        <patternFill>
          <bgColor rgb="FF800000"/>
        </patternFill>
      </fill>
      <border>
        <left style="thin">
          <color auto="1"/>
        </left>
        <right style="thin">
          <color auto="1"/>
        </right>
        <top style="thin">
          <color auto="1"/>
        </top>
        <bottom style="thin">
          <color auto="1"/>
        </bottom>
      </border>
    </dxf>
    <dxf>
      <font>
        <b/>
        <i val="0"/>
        <sz val="12"/>
        <color theme="0"/>
      </font>
      <fill>
        <patternFill>
          <bgColor rgb="FF932D3C"/>
        </patternFill>
      </fill>
    </dxf>
    <dxf>
      <font>
        <color theme="0"/>
      </font>
      <fill>
        <patternFill patternType="lightHorizontal">
          <bgColor rgb="FF863A45"/>
        </patternFill>
      </fill>
      <border diagonalUp="0" diagonalDown="0">
        <left style="medium">
          <color theme="1"/>
        </left>
        <right style="medium">
          <color theme="1"/>
        </right>
        <top style="medium">
          <color theme="1"/>
        </top>
        <bottom style="medium">
          <color theme="1"/>
        </bottom>
        <vertical/>
        <horizontal/>
      </border>
    </dxf>
    <dxf>
      <font>
        <u/>
        <color theme="0" tint="-4.9989318521683403E-2"/>
      </font>
      <fill>
        <patternFill>
          <bgColor rgb="FF962A41"/>
        </patternFill>
      </fill>
    </dxf>
    <dxf>
      <border>
        <left style="medium">
          <color auto="1"/>
        </left>
        <right style="medium">
          <color auto="1"/>
        </right>
        <top style="medium">
          <color auto="1"/>
        </top>
        <bottom style="medium">
          <color auto="1"/>
        </bottom>
      </border>
    </dxf>
    <dxf>
      <border>
        <left style="thin">
          <color auto="1"/>
        </left>
        <right style="thin">
          <color auto="1"/>
        </right>
        <top style="thin">
          <color auto="1"/>
        </top>
        <bottom style="thin">
          <color auto="1"/>
        </bottom>
      </border>
    </dxf>
    <dxf>
      <font>
        <b/>
        <i val="0"/>
        <strike/>
        <u/>
        <color theme="0"/>
      </font>
      <fill>
        <patternFill patternType="none">
          <bgColor auto="1"/>
        </patternFill>
      </fill>
    </dxf>
    <dxf>
      <fill>
        <patternFill patternType="solid">
          <fgColor auto="1"/>
          <bgColor rgb="FF993300"/>
        </patternFill>
      </fill>
    </dxf>
  </dxfs>
  <tableStyles count="12" defaultTableStyle="TableStyleMedium2" defaultPivotStyle="PivotStyleLight16">
    <tableStyle name="DARK STYLE THEME" pivot="0" table="0" count="0" xr9:uid="{E90AEB8E-48FD-480F-ACDF-DC15FC81A155}"/>
    <tableStyle name="Slicer Style 1" pivot="0" table="0" count="1" xr9:uid="{323091B0-A122-4B3D-87D8-7BBF9E5FBE5E}">
      <tableStyleElement type="wholeTable" dxfId="7"/>
    </tableStyle>
    <tableStyle name="Slicer Style 10" pivot="0" table="0" count="0" xr9:uid="{E336BE49-64C0-40F7-B4C9-6C34A7B47290}"/>
    <tableStyle name="Slicer Style 11" pivot="0" table="0" count="1" xr9:uid="{52619F94-9163-4EDE-926C-C999FBAAC3B7}">
      <tableStyleElement type="wholeTable" dxfId="6"/>
    </tableStyle>
    <tableStyle name="Slicer Style 2" pivot="0" table="0" count="1" xr9:uid="{8546C265-0DD7-4D6C-A69B-BFDEC82873A7}">
      <tableStyleElement type="wholeTable" dxfId="5"/>
    </tableStyle>
    <tableStyle name="Slicer Style 3" pivot="0" table="0" count="1" xr9:uid="{2544444C-7D64-4A45-B4E2-8D20FFD1BA3E}">
      <tableStyleElement type="wholeTable" dxfId="4"/>
    </tableStyle>
    <tableStyle name="Slicer Style 4" pivot="0" table="0" count="0" xr9:uid="{3065FD72-F794-4E5F-B484-01382EFDEF95}"/>
    <tableStyle name="Slicer Style 5" pivot="0" table="0" count="0" xr9:uid="{4888FB7D-D352-41E2-9311-2B4A9154A308}"/>
    <tableStyle name="Slicer Style 6" pivot="0" table="0" count="1" xr9:uid="{F67E2861-338F-42EC-9826-F9CB1341FF34}">
      <tableStyleElement type="wholeTable" dxfId="3"/>
    </tableStyle>
    <tableStyle name="Slicer Style 7" pivot="0" table="0" count="1" xr9:uid="{065327C2-77C2-4F4B-8D1E-F6365F920369}">
      <tableStyleElement type="wholeTable" dxfId="2"/>
    </tableStyle>
    <tableStyle name="Slicer Style 8" pivot="0" table="0" count="1" xr9:uid="{BA20D382-C32D-4EF3-AE05-F25185BB0FB8}">
      <tableStyleElement type="wholeTable" dxfId="1"/>
    </tableStyle>
    <tableStyle name="Slicer Style 9" pivot="0" table="0" count="1" xr9:uid="{0F5E735A-686F-41B9-B774-00FB106CCAEC}">
      <tableStyleElement type="wholeTable" dxfId="0"/>
    </tableStyle>
  </tableStyles>
  <colors>
    <mruColors>
      <color rgb="FF1F1F1F"/>
      <color rgb="FF800000"/>
      <color rgb="FF141414"/>
      <color rgb="FFFF7C80"/>
      <color rgb="FF932D3C"/>
      <color rgb="FFCC3300"/>
      <color rgb="FF863A45"/>
      <color rgb="FF962A41"/>
      <color rgb="FF993300"/>
      <color rgb="FF412732"/>
    </mruColors>
  </colors>
  <extLst>
    <ext xmlns:x14="http://schemas.microsoft.com/office/spreadsheetml/2009/9/main" uri="{EB79DEF2-80B8-43e5-95BD-54CBDDF9020C}">
      <x14:slicerStyles defaultSlicerStyle="SlicerStyleLight1">
        <x14:slicerStyle name="DARK STYLE THEME"/>
        <x14:slicerStyle name="Slicer Style 1"/>
        <x14:slicerStyle name="Slicer Style 10"/>
        <x14:slicerStyle name="Slicer Style 11"/>
        <x14:slicerStyle name="Slicer Style 2"/>
        <x14:slicerStyle name="Slicer Style 3"/>
        <x14:slicerStyle name="Slicer Style 4"/>
        <x14:slicerStyle name="Slicer Style 5"/>
        <x14:slicerStyle name="Slicer Style 6"/>
        <x14:slicerStyle name="Slicer Style 7"/>
        <x14:slicerStyle name="Slicer Style 8"/>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DASH.xlsm]TITLE BY YEAR!PivotTable1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t>TITLE</a:t>
            </a:r>
            <a:r>
              <a:rPr lang="en-IN" b="1" u="sng" baseline="0"/>
              <a:t> BY YEAR</a:t>
            </a:r>
            <a:endParaRPr lang="en-IN" b="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'TITLE BY YEAR'!$B$3</c:f>
              <c:strCache>
                <c:ptCount val="1"/>
                <c:pt idx="0">
                  <c:v>Total</c:v>
                </c:pt>
              </c:strCache>
            </c:strRef>
          </c:tx>
          <c:spPr>
            <a:solidFill>
              <a:schemeClr val="accent1"/>
            </a:solidFill>
            <a:ln>
              <a:noFill/>
            </a:ln>
            <a:effectLst/>
            <a:sp3d/>
          </c:spPr>
          <c:invertIfNegative val="0"/>
          <c:cat>
            <c:strRef>
              <c:f>'TITLE BY YEAR'!$A$4:$A$26</c:f>
              <c:strCache>
                <c:ptCount val="22"/>
                <c:pt idx="0">
                  <c:v>BIG BANG THEORY</c:v>
                </c:pt>
                <c:pt idx="1">
                  <c:v>BROOKLYN NINE-NINE</c:v>
                </c:pt>
                <c:pt idx="2">
                  <c:v>CHAVVA </c:v>
                </c:pt>
                <c:pt idx="3">
                  <c:v>COURT STATE VS NOBODY</c:v>
                </c:pt>
                <c:pt idx="4">
                  <c:v>DAAKU MAHARAJ</c:v>
                </c:pt>
                <c:pt idx="5">
                  <c:v>DABBA CARTEL</c:v>
                </c:pt>
                <c:pt idx="6">
                  <c:v>DEMON SLAYER</c:v>
                </c:pt>
                <c:pt idx="7">
                  <c:v>EMERGENCY</c:v>
                </c:pt>
                <c:pt idx="8">
                  <c:v>EXTERRITORIAL</c:v>
                </c:pt>
                <c:pt idx="9">
                  <c:v>FRIENDS</c:v>
                </c:pt>
                <c:pt idx="10">
                  <c:v>JEWEL THEIF</c:v>
                </c:pt>
                <c:pt idx="11">
                  <c:v>MAAMLA LEGAL HAI</c:v>
                </c:pt>
                <c:pt idx="12">
                  <c:v>MAD SQUARE</c:v>
                </c:pt>
                <c:pt idx="13">
                  <c:v>MONICA O MY DARLING</c:v>
                </c:pt>
                <c:pt idx="14">
                  <c:v>NADANIYAAN</c:v>
                </c:pt>
                <c:pt idx="15">
                  <c:v>STRANGER THINGS</c:v>
                </c:pt>
                <c:pt idx="16">
                  <c:v>SUITES</c:v>
                </c:pt>
                <c:pt idx="17">
                  <c:v>THE DIPLOMAT</c:v>
                </c:pt>
                <c:pt idx="18">
                  <c:v>THE GOOD DOCTOR</c:v>
                </c:pt>
                <c:pt idx="19">
                  <c:v>WHEN LIGE GIVES YOU TANGRIES</c:v>
                </c:pt>
                <c:pt idx="20">
                  <c:v>YOUNG SHELDON</c:v>
                </c:pt>
                <c:pt idx="21">
                  <c:v>(blank)</c:v>
                </c:pt>
              </c:strCache>
            </c:strRef>
          </c:cat>
          <c:val>
            <c:numRef>
              <c:f>'TITLE BY YEAR'!$B$4:$B$26</c:f>
              <c:numCache>
                <c:formatCode>General</c:formatCode>
                <c:ptCount val="22"/>
                <c:pt idx="0">
                  <c:v>2018</c:v>
                </c:pt>
                <c:pt idx="1">
                  <c:v>2016</c:v>
                </c:pt>
                <c:pt idx="2">
                  <c:v>2025</c:v>
                </c:pt>
                <c:pt idx="3">
                  <c:v>2025</c:v>
                </c:pt>
                <c:pt idx="4">
                  <c:v>2025</c:v>
                </c:pt>
                <c:pt idx="5">
                  <c:v>2025</c:v>
                </c:pt>
                <c:pt idx="6">
                  <c:v>2020</c:v>
                </c:pt>
                <c:pt idx="7">
                  <c:v>2025</c:v>
                </c:pt>
                <c:pt idx="8">
                  <c:v>2025</c:v>
                </c:pt>
                <c:pt idx="9">
                  <c:v>1994</c:v>
                </c:pt>
                <c:pt idx="10">
                  <c:v>2025</c:v>
                </c:pt>
                <c:pt idx="11">
                  <c:v>2024</c:v>
                </c:pt>
                <c:pt idx="12">
                  <c:v>2025</c:v>
                </c:pt>
                <c:pt idx="13">
                  <c:v>2022</c:v>
                </c:pt>
                <c:pt idx="14">
                  <c:v>2025</c:v>
                </c:pt>
                <c:pt idx="15">
                  <c:v>2016</c:v>
                </c:pt>
                <c:pt idx="16">
                  <c:v>2019</c:v>
                </c:pt>
                <c:pt idx="17">
                  <c:v>2025</c:v>
                </c:pt>
                <c:pt idx="18">
                  <c:v>2017</c:v>
                </c:pt>
                <c:pt idx="19">
                  <c:v>2025</c:v>
                </c:pt>
                <c:pt idx="20">
                  <c:v>2025</c:v>
                </c:pt>
              </c:numCache>
            </c:numRef>
          </c:val>
          <c:extLst>
            <c:ext xmlns:c16="http://schemas.microsoft.com/office/drawing/2014/chart" uri="{C3380CC4-5D6E-409C-BE32-E72D297353CC}">
              <c16:uniqueId val="{00000003-E37A-4984-9382-A317FE00B3CE}"/>
            </c:ext>
          </c:extLst>
        </c:ser>
        <c:dLbls>
          <c:showLegendKey val="0"/>
          <c:showVal val="0"/>
          <c:showCatName val="0"/>
          <c:showSerName val="0"/>
          <c:showPercent val="0"/>
          <c:showBubbleSize val="0"/>
        </c:dLbls>
        <c:gapWidth val="150"/>
        <c:shape val="box"/>
        <c:axId val="1393973936"/>
        <c:axId val="1393978736"/>
        <c:axId val="0"/>
      </c:bar3DChart>
      <c:catAx>
        <c:axId val="1393973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978736"/>
        <c:crosses val="autoZero"/>
        <c:auto val="1"/>
        <c:lblAlgn val="ctr"/>
        <c:lblOffset val="100"/>
        <c:noMultiLvlLbl val="0"/>
      </c:catAx>
      <c:valAx>
        <c:axId val="1393978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973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DASH.xlsm]MOVIR VS SERIES!PivotTable2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t>MOVIE</a:t>
            </a:r>
            <a:r>
              <a:rPr lang="en-IN" b="1" u="sng" baseline="0"/>
              <a:t> VS TV SERIES</a:t>
            </a:r>
            <a:endParaRPr lang="en-IN" b="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'MOVIR VS SERIES'!$B$3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D923-4F00-A6E5-6A0D218C2BE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923-4F00-A6E5-6A0D218C2BE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D923-4F00-A6E5-6A0D218C2BE3}"/>
              </c:ext>
            </c:extLst>
          </c:dPt>
          <c:cat>
            <c:strRef>
              <c:f>'MOVIR VS SERIES'!$A$4:$A$7</c:f>
              <c:strCache>
                <c:ptCount val="3"/>
                <c:pt idx="0">
                  <c:v>movie</c:v>
                </c:pt>
                <c:pt idx="1">
                  <c:v>tv series</c:v>
                </c:pt>
                <c:pt idx="2">
                  <c:v>(blank)</c:v>
                </c:pt>
              </c:strCache>
            </c:strRef>
          </c:cat>
          <c:val>
            <c:numRef>
              <c:f>'MOVIR VS SERIES'!$B$4:$B$7</c:f>
              <c:numCache>
                <c:formatCode>General</c:formatCode>
                <c:ptCount val="3"/>
                <c:pt idx="0">
                  <c:v>10</c:v>
                </c:pt>
                <c:pt idx="1">
                  <c:v>9</c:v>
                </c:pt>
              </c:numCache>
            </c:numRef>
          </c:val>
          <c:extLst>
            <c:ext xmlns:c16="http://schemas.microsoft.com/office/drawing/2014/chart" uri="{C3380CC4-5D6E-409C-BE32-E72D297353CC}">
              <c16:uniqueId val="{00000000-A180-4790-8EAB-686C07E6415B}"/>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DASH.xlsm]TITLE BY GENRE!PivotTable3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TITLE BY GENRE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pivotFmt>
      <c:pivotFmt>
        <c:idx val="14"/>
        <c:spPr>
          <a:solidFill>
            <a:schemeClr val="accent1"/>
          </a:solidFill>
          <a:ln>
            <a:noFill/>
          </a:ln>
          <a:effectLst>
            <a:outerShdw blurRad="254000" sx="102000" sy="102000" algn="ctr" rotWithShape="0">
              <a:prstClr val="black">
                <a:alpha val="20000"/>
              </a:prstClr>
            </a:outerShdw>
          </a:effectLst>
          <a:sp3d/>
        </c:spPr>
      </c:pivotFmt>
      <c:pivotFmt>
        <c:idx val="15"/>
        <c:spPr>
          <a:solidFill>
            <a:schemeClr val="accent1"/>
          </a:solidFill>
          <a:ln>
            <a:noFill/>
          </a:ln>
          <a:effectLst>
            <a:outerShdw blurRad="254000" sx="102000" sy="102000" algn="ctr" rotWithShape="0">
              <a:prstClr val="black">
                <a:alpha val="20000"/>
              </a:prstClr>
            </a:outerShdw>
          </a:effectLst>
          <a:sp3d/>
        </c:spPr>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pivotFmt>
      <c:pivotFmt>
        <c:idx val="20"/>
        <c:spPr>
          <a:solidFill>
            <a:schemeClr val="accent1"/>
          </a:solidFill>
          <a:ln>
            <a:noFill/>
          </a:ln>
          <a:effectLst>
            <a:outerShdw blurRad="254000" sx="102000" sy="102000" algn="ctr" rotWithShape="0">
              <a:prstClr val="black">
                <a:alpha val="20000"/>
              </a:prstClr>
            </a:outerShdw>
          </a:effectLst>
          <a:sp3d/>
        </c:spPr>
      </c:pivotFmt>
      <c:pivotFmt>
        <c:idx val="21"/>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'TITLE BY GENRE'!$B$3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104-43ED-8817-1B6BC771D2FE}"/>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104-43ED-8817-1B6BC771D2FE}"/>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104-43ED-8817-1B6BC771D2FE}"/>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104-43ED-8817-1B6BC771D2FE}"/>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7104-43ED-8817-1B6BC771D2FE}"/>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7104-43ED-8817-1B6BC771D2F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7104-43ED-8817-1B6BC771D2FE}"/>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7104-43ED-8817-1B6BC771D2FE}"/>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7104-43ED-8817-1B6BC771D2FE}"/>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104-43ED-8817-1B6BC771D2FE}"/>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104-43ED-8817-1B6BC771D2FE}"/>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104-43ED-8817-1B6BC771D2FE}"/>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104-43ED-8817-1B6BC771D2FE}"/>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B-7104-43ED-8817-1B6BC771D2FE}"/>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7104-43ED-8817-1B6BC771D2FE}"/>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F-7104-43ED-8817-1B6BC771D2FE}"/>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1-7104-43ED-8817-1B6BC771D2FE}"/>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3-7104-43ED-8817-1B6BC771D2FE}"/>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104-43ED-8817-1B6BC771D2FE}"/>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104-43ED-8817-1B6BC771D2FE}"/>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104-43ED-8817-1B6BC771D2F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'TITLE BY GENRE'!$A$4:$A$25</c:f>
              <c:strCache>
                <c:ptCount val="21"/>
                <c:pt idx="0">
                  <c:v>BASED ON BOOKS,MILITATRY MOVIE</c:v>
                </c:pt>
                <c:pt idx="1">
                  <c:v>COMEDY</c:v>
                </c:pt>
                <c:pt idx="2">
                  <c:v>COMEDY,ACTION</c:v>
                </c:pt>
                <c:pt idx="3">
                  <c:v>COMEDY,ROMANCE,TEEN</c:v>
                </c:pt>
                <c:pt idx="4">
                  <c:v>CRIME,ACTION</c:v>
                </c:pt>
                <c:pt idx="5">
                  <c:v>CRIME,COMEDY,DRAMA</c:v>
                </c:pt>
                <c:pt idx="6">
                  <c:v>DEAMA,SCI-FI,TEEN,HORROR</c:v>
                </c:pt>
                <c:pt idx="7">
                  <c:v>DRAMA,COMEDY,COURTROOM TV</c:v>
                </c:pt>
                <c:pt idx="8">
                  <c:v>DRAMA,COURTROOM TV</c:v>
                </c:pt>
                <c:pt idx="9">
                  <c:v>DRAMA,CRIME,THRILLER</c:v>
                </c:pt>
                <c:pt idx="10">
                  <c:v>DRAMA,SOCIAL ISSUE</c:v>
                </c:pt>
                <c:pt idx="11">
                  <c:v>DRAMAS ,SOCIAL ISSUE</c:v>
                </c:pt>
                <c:pt idx="12">
                  <c:v>FAMILY/COMED</c:v>
                </c:pt>
                <c:pt idx="13">
                  <c:v>GERMAN,ACTION</c:v>
                </c:pt>
                <c:pt idx="14">
                  <c:v>MEDICAL TV,DRAMAS,SOCIAL ISSUE</c:v>
                </c:pt>
                <c:pt idx="15">
                  <c:v>ROMANTIC,DRAMA</c:v>
                </c:pt>
                <c:pt idx="16">
                  <c:v>SCI-FI,ACTION</c:v>
                </c:pt>
                <c:pt idx="17">
                  <c:v>SITCOMES,COMEDIES</c:v>
                </c:pt>
                <c:pt idx="18">
                  <c:v>SITCOMES,COMEDY,CRIMES</c:v>
                </c:pt>
                <c:pt idx="19">
                  <c:v>SOCIAL ISSU,BASED ON REAL LIFE</c:v>
                </c:pt>
                <c:pt idx="20">
                  <c:v>(blank)</c:v>
                </c:pt>
              </c:strCache>
            </c:strRef>
          </c:cat>
          <c:val>
            <c:numRef>
              <c:f>'TITLE BY GENRE'!$B$4:$B$25</c:f>
              <c:numCache>
                <c:formatCode>General</c:formatCode>
                <c:ptCount val="21"/>
                <c:pt idx="0">
                  <c:v>1</c:v>
                </c:pt>
                <c:pt idx="1">
                  <c:v>1</c:v>
                </c:pt>
                <c:pt idx="2">
                  <c:v>1</c:v>
                </c:pt>
                <c:pt idx="3">
                  <c:v>1</c:v>
                </c:pt>
                <c:pt idx="4">
                  <c:v>2</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val>
          <c:extLst>
            <c:ext xmlns:c16="http://schemas.microsoft.com/office/drawing/2014/chart" uri="{C3380CC4-5D6E-409C-BE32-E72D297353CC}">
              <c16:uniqueId val="{00000000-D67E-4759-B267-D32307A44BA7}"/>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DASH.xlsm]TITLE BY SEASONS!PivotTable6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t>TITLE</a:t>
            </a:r>
            <a:r>
              <a:rPr lang="en-US" b="1" u="sng" baseline="0"/>
              <a:t> BY SEASONS</a:t>
            </a:r>
            <a:endParaRPr lang="en-US" b="1" u="sng"/>
          </a:p>
        </c:rich>
      </c:tx>
      <c:layout>
        <c:manualLayout>
          <c:xMode val="edge"/>
          <c:yMode val="edge"/>
          <c:x val="0.50621522309711287"/>
          <c:y val="0.133238553514144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'TITLE BY SEASONS'!$B$3</c:f>
              <c:strCache>
                <c:ptCount val="1"/>
                <c:pt idx="0">
                  <c:v>Total</c:v>
                </c:pt>
              </c:strCache>
            </c:strRef>
          </c:tx>
          <c:spPr>
            <a:solidFill>
              <a:schemeClr val="accent1"/>
            </a:solidFill>
            <a:ln>
              <a:noFill/>
            </a:ln>
            <a:effectLst/>
            <a:sp3d/>
          </c:spPr>
          <c:invertIfNegative val="0"/>
          <c:cat>
            <c:strRef>
              <c:f>'TITLE BY SEASONS'!$A$4:$A$26</c:f>
              <c:strCache>
                <c:ptCount val="22"/>
                <c:pt idx="0">
                  <c:v>BIG BANG THEORY</c:v>
                </c:pt>
                <c:pt idx="1">
                  <c:v>BROOKLYN NINE-NINE</c:v>
                </c:pt>
                <c:pt idx="2">
                  <c:v>CHAVVA </c:v>
                </c:pt>
                <c:pt idx="3">
                  <c:v>COURT STATE VS NOBODY</c:v>
                </c:pt>
                <c:pt idx="4">
                  <c:v>DAAKU MAHARAJ</c:v>
                </c:pt>
                <c:pt idx="5">
                  <c:v>DABBA CARTEL</c:v>
                </c:pt>
                <c:pt idx="6">
                  <c:v>DEMON SLAYER</c:v>
                </c:pt>
                <c:pt idx="7">
                  <c:v>EMERGENCY</c:v>
                </c:pt>
                <c:pt idx="8">
                  <c:v>EXTERRITORIAL</c:v>
                </c:pt>
                <c:pt idx="9">
                  <c:v>FRIENDS</c:v>
                </c:pt>
                <c:pt idx="10">
                  <c:v>JEWEL THEIF</c:v>
                </c:pt>
                <c:pt idx="11">
                  <c:v>MAAMLA LEGAL HAI</c:v>
                </c:pt>
                <c:pt idx="12">
                  <c:v>MAD SQUARE</c:v>
                </c:pt>
                <c:pt idx="13">
                  <c:v>MONICA O MY DARLING</c:v>
                </c:pt>
                <c:pt idx="14">
                  <c:v>NADANIYAAN</c:v>
                </c:pt>
                <c:pt idx="15">
                  <c:v>STRANGER THINGS</c:v>
                </c:pt>
                <c:pt idx="16">
                  <c:v>SUITES</c:v>
                </c:pt>
                <c:pt idx="17">
                  <c:v>THE DIPLOMAT</c:v>
                </c:pt>
                <c:pt idx="18">
                  <c:v>THE GOOD DOCTOR</c:v>
                </c:pt>
                <c:pt idx="19">
                  <c:v>WHEN LIGE GIVES YOU TANGRIES</c:v>
                </c:pt>
                <c:pt idx="20">
                  <c:v>YOUNG SHELDON</c:v>
                </c:pt>
                <c:pt idx="21">
                  <c:v>(blank)</c:v>
                </c:pt>
              </c:strCache>
            </c:strRef>
          </c:cat>
          <c:val>
            <c:numRef>
              <c:f>'TITLE BY SEASONS'!$B$4:$B$26</c:f>
              <c:numCache>
                <c:formatCode>General</c:formatCode>
                <c:ptCount val="22"/>
                <c:pt idx="0">
                  <c:v>12</c:v>
                </c:pt>
                <c:pt idx="1">
                  <c:v>8</c:v>
                </c:pt>
                <c:pt idx="2">
                  <c:v>0</c:v>
                </c:pt>
                <c:pt idx="3">
                  <c:v>0</c:v>
                </c:pt>
                <c:pt idx="4">
                  <c:v>0</c:v>
                </c:pt>
                <c:pt idx="5">
                  <c:v>1</c:v>
                </c:pt>
                <c:pt idx="6">
                  <c:v>4</c:v>
                </c:pt>
                <c:pt idx="7">
                  <c:v>0</c:v>
                </c:pt>
                <c:pt idx="8">
                  <c:v>0</c:v>
                </c:pt>
                <c:pt idx="9">
                  <c:v>10</c:v>
                </c:pt>
                <c:pt idx="10">
                  <c:v>0</c:v>
                </c:pt>
                <c:pt idx="11">
                  <c:v>1</c:v>
                </c:pt>
                <c:pt idx="12">
                  <c:v>0</c:v>
                </c:pt>
                <c:pt idx="13">
                  <c:v>0</c:v>
                </c:pt>
                <c:pt idx="14">
                  <c:v>0</c:v>
                </c:pt>
                <c:pt idx="15">
                  <c:v>4</c:v>
                </c:pt>
                <c:pt idx="16">
                  <c:v>9</c:v>
                </c:pt>
                <c:pt idx="17">
                  <c:v>0</c:v>
                </c:pt>
                <c:pt idx="18">
                  <c:v>6</c:v>
                </c:pt>
                <c:pt idx="19">
                  <c:v>1</c:v>
                </c:pt>
                <c:pt idx="20">
                  <c:v>5</c:v>
                </c:pt>
              </c:numCache>
            </c:numRef>
          </c:val>
          <c:extLst>
            <c:ext xmlns:c16="http://schemas.microsoft.com/office/drawing/2014/chart" uri="{C3380CC4-5D6E-409C-BE32-E72D297353CC}">
              <c16:uniqueId val="{00000000-90FF-41F7-A2BD-9D0AD564B609}"/>
            </c:ext>
          </c:extLst>
        </c:ser>
        <c:dLbls>
          <c:showLegendKey val="0"/>
          <c:showVal val="0"/>
          <c:showCatName val="0"/>
          <c:showSerName val="0"/>
          <c:showPercent val="0"/>
          <c:showBubbleSize val="0"/>
        </c:dLbls>
        <c:gapWidth val="150"/>
        <c:shape val="box"/>
        <c:axId val="1502084352"/>
        <c:axId val="1502083392"/>
        <c:axId val="0"/>
      </c:bar3DChart>
      <c:catAx>
        <c:axId val="1502084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083392"/>
        <c:crosses val="autoZero"/>
        <c:auto val="1"/>
        <c:lblAlgn val="ctr"/>
        <c:lblOffset val="100"/>
        <c:noMultiLvlLbl val="0"/>
      </c:catAx>
      <c:valAx>
        <c:axId val="1502083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084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DASH.xlsm]TITLE BY COUNTRY!PivotTable10</c:name>
    <c:fmtId val="0"/>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TITLE BY COUNTRY</a:t>
            </a:r>
          </a:p>
          <a:p>
            <a:pPr>
              <a:defRPr sz="1400"/>
            </a:pPr>
            <a:endParaRPr lang="en-US" sz="1400"/>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pivotFmt>
    </c:pivotFmts>
    <c:plotArea>
      <c:layout/>
      <c:barChart>
        <c:barDir val="bar"/>
        <c:grouping val="clustered"/>
        <c:varyColors val="0"/>
        <c:ser>
          <c:idx val="0"/>
          <c:order val="0"/>
          <c:tx>
            <c:strRef>
              <c:f>'TITLE BY COUNTRY'!$B$3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1-42F4-44A6-B8C8-70FC12F86721}"/>
              </c:ext>
            </c:extLst>
          </c:dPt>
          <c:dPt>
            <c:idx val="1"/>
            <c:invertIfNegative val="0"/>
            <c:bubble3D val="0"/>
            <c:extLst>
              <c:ext xmlns:c16="http://schemas.microsoft.com/office/drawing/2014/chart" uri="{C3380CC4-5D6E-409C-BE32-E72D297353CC}">
                <c16:uniqueId val="{00000003-42F4-44A6-B8C8-70FC12F86721}"/>
              </c:ext>
            </c:extLst>
          </c:dPt>
          <c:dPt>
            <c:idx val="2"/>
            <c:invertIfNegative val="0"/>
            <c:bubble3D val="0"/>
            <c:extLst>
              <c:ext xmlns:c16="http://schemas.microsoft.com/office/drawing/2014/chart" uri="{C3380CC4-5D6E-409C-BE32-E72D297353CC}">
                <c16:uniqueId val="{00000005-42F4-44A6-B8C8-70FC12F86721}"/>
              </c:ext>
            </c:extLst>
          </c:dPt>
          <c:dPt>
            <c:idx val="3"/>
            <c:invertIfNegative val="0"/>
            <c:bubble3D val="0"/>
            <c:extLst>
              <c:ext xmlns:c16="http://schemas.microsoft.com/office/drawing/2014/chart" uri="{C3380CC4-5D6E-409C-BE32-E72D297353CC}">
                <c16:uniqueId val="{00000007-42F4-44A6-B8C8-70FC12F86721}"/>
              </c:ext>
            </c:extLst>
          </c:dPt>
          <c:dPt>
            <c:idx val="4"/>
            <c:invertIfNegative val="0"/>
            <c:bubble3D val="0"/>
            <c:extLst>
              <c:ext xmlns:c16="http://schemas.microsoft.com/office/drawing/2014/chart" uri="{C3380CC4-5D6E-409C-BE32-E72D297353CC}">
                <c16:uniqueId val="{00000009-FD0E-429F-B1A9-A78116EAFA05}"/>
              </c:ext>
            </c:extLst>
          </c:dPt>
          <c:cat>
            <c:strRef>
              <c:f>'TITLE BY COUNTRY'!$A$4:$A$8</c:f>
              <c:strCache>
                <c:ptCount val="4"/>
                <c:pt idx="0">
                  <c:v>INDIA</c:v>
                </c:pt>
                <c:pt idx="1">
                  <c:v>JAPAN</c:v>
                </c:pt>
                <c:pt idx="2">
                  <c:v>KOREA</c:v>
                </c:pt>
                <c:pt idx="3">
                  <c:v>UNITED STATES</c:v>
                </c:pt>
              </c:strCache>
            </c:strRef>
          </c:cat>
          <c:val>
            <c:numRef>
              <c:f>'TITLE BY COUNTRY'!$B$4:$B$8</c:f>
              <c:numCache>
                <c:formatCode>General</c:formatCode>
                <c:ptCount val="4"/>
                <c:pt idx="0">
                  <c:v>11</c:v>
                </c:pt>
                <c:pt idx="1">
                  <c:v>1</c:v>
                </c:pt>
                <c:pt idx="2">
                  <c:v>1</c:v>
                </c:pt>
                <c:pt idx="3">
                  <c:v>8</c:v>
                </c:pt>
              </c:numCache>
            </c:numRef>
          </c:val>
          <c:extLst>
            <c:ext xmlns:c16="http://schemas.microsoft.com/office/drawing/2014/chart" uri="{C3380CC4-5D6E-409C-BE32-E72D297353CC}">
              <c16:uniqueId val="{00000000-C97D-40BC-8E36-9D4F9AAD3248}"/>
            </c:ext>
          </c:extLst>
        </c:ser>
        <c:dLbls>
          <c:showLegendKey val="0"/>
          <c:showVal val="0"/>
          <c:showCatName val="0"/>
          <c:showSerName val="0"/>
          <c:showPercent val="0"/>
          <c:showBubbleSize val="0"/>
        </c:dLbls>
        <c:gapWidth val="115"/>
        <c:overlap val="-20"/>
        <c:axId val="1547808128"/>
        <c:axId val="1547806208"/>
      </c:barChart>
      <c:valAx>
        <c:axId val="154780620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7808128"/>
        <c:crossBetween val="between"/>
      </c:valAx>
      <c:catAx>
        <c:axId val="15478081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7806208"/>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DASH.xlsm]TITLE BY RATING!PivotTable4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'TITLE BY RATING'!$B$3</c:f>
              <c:strCache>
                <c:ptCount val="1"/>
                <c:pt idx="0">
                  <c:v>Total</c:v>
                </c:pt>
              </c:strCache>
            </c:strRef>
          </c:tx>
          <c:spPr>
            <a:solidFill>
              <a:schemeClr val="accent1"/>
            </a:solidFill>
            <a:ln>
              <a:noFill/>
            </a:ln>
            <a:effectLst/>
            <a:sp3d/>
          </c:spPr>
          <c:invertIfNegative val="0"/>
          <c:cat>
            <c:strRef>
              <c:f>'TITLE BY RATING'!$A$4:$A$8</c:f>
              <c:strCache>
                <c:ptCount val="4"/>
                <c:pt idx="0">
                  <c:v>A</c:v>
                </c:pt>
                <c:pt idx="1">
                  <c:v>U/A 16+</c:v>
                </c:pt>
                <c:pt idx="2">
                  <c:v>U/A13+</c:v>
                </c:pt>
                <c:pt idx="3">
                  <c:v>(blank)</c:v>
                </c:pt>
              </c:strCache>
            </c:strRef>
          </c:cat>
          <c:val>
            <c:numRef>
              <c:f>'TITLE BY RATING'!$B$4:$B$8</c:f>
              <c:numCache>
                <c:formatCode>General</c:formatCode>
                <c:ptCount val="4"/>
                <c:pt idx="0">
                  <c:v>1</c:v>
                </c:pt>
                <c:pt idx="1">
                  <c:v>15</c:v>
                </c:pt>
                <c:pt idx="2">
                  <c:v>5</c:v>
                </c:pt>
              </c:numCache>
            </c:numRef>
          </c:val>
          <c:extLst>
            <c:ext xmlns:c16="http://schemas.microsoft.com/office/drawing/2014/chart" uri="{C3380CC4-5D6E-409C-BE32-E72D297353CC}">
              <c16:uniqueId val="{00000000-0490-4B4A-8426-1965FF8CBACE}"/>
            </c:ext>
          </c:extLst>
        </c:ser>
        <c:dLbls>
          <c:showLegendKey val="0"/>
          <c:showVal val="0"/>
          <c:showCatName val="0"/>
          <c:showSerName val="0"/>
          <c:showPercent val="0"/>
          <c:showBubbleSize val="0"/>
        </c:dLbls>
        <c:gapWidth val="150"/>
        <c:shape val="box"/>
        <c:axId val="2096309855"/>
        <c:axId val="2096311775"/>
        <c:axId val="0"/>
      </c:bar3DChart>
      <c:catAx>
        <c:axId val="2096309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6311775"/>
        <c:crosses val="autoZero"/>
        <c:auto val="1"/>
        <c:lblAlgn val="ctr"/>
        <c:lblOffset val="100"/>
        <c:noMultiLvlLbl val="0"/>
      </c:catAx>
      <c:valAx>
        <c:axId val="2096311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6309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800000"/>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[NETFLIX DASH.xlsm]TITLE BY YEAR!PivotTable1</c:name>
    <c:fmtId val="5"/>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a:t>TITLE BY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'TITLE BY YEAR'!$B$3</c:f>
              <c:strCache>
                <c:ptCount val="1"/>
                <c:pt idx="0">
                  <c:v>Total</c:v>
                </c:pt>
              </c:strCache>
            </c:strRef>
          </c:tx>
          <c:spPr>
            <a:solidFill>
              <a:schemeClr val="accent4"/>
            </a:solidFill>
            <a:ln>
              <a:noFill/>
            </a:ln>
            <a:effectLst/>
            <a:sp3d/>
          </c:spPr>
          <c:invertIfNegative val="0"/>
          <c:cat>
            <c:strRef>
              <c:f>'TITLE BY YEAR'!$A$4:$A$26</c:f>
              <c:strCache>
                <c:ptCount val="22"/>
                <c:pt idx="0">
                  <c:v>BIG BANG THEORY</c:v>
                </c:pt>
                <c:pt idx="1">
                  <c:v>BROOKLYN NINE-NINE</c:v>
                </c:pt>
                <c:pt idx="2">
                  <c:v>CHAVVA </c:v>
                </c:pt>
                <c:pt idx="3">
                  <c:v>COURT STATE VS NOBODY</c:v>
                </c:pt>
                <c:pt idx="4">
                  <c:v>DAAKU MAHARAJ</c:v>
                </c:pt>
                <c:pt idx="5">
                  <c:v>DABBA CARTEL</c:v>
                </c:pt>
                <c:pt idx="6">
                  <c:v>DEMON SLAYER</c:v>
                </c:pt>
                <c:pt idx="7">
                  <c:v>EMERGENCY</c:v>
                </c:pt>
                <c:pt idx="8">
                  <c:v>EXTERRITORIAL</c:v>
                </c:pt>
                <c:pt idx="9">
                  <c:v>FRIENDS</c:v>
                </c:pt>
                <c:pt idx="10">
                  <c:v>JEWEL THEIF</c:v>
                </c:pt>
                <c:pt idx="11">
                  <c:v>MAAMLA LEGAL HAI</c:v>
                </c:pt>
                <c:pt idx="12">
                  <c:v>MAD SQUARE</c:v>
                </c:pt>
                <c:pt idx="13">
                  <c:v>MONICA O MY DARLING</c:v>
                </c:pt>
                <c:pt idx="14">
                  <c:v>NADANIYAAN</c:v>
                </c:pt>
                <c:pt idx="15">
                  <c:v>STRANGER THINGS</c:v>
                </c:pt>
                <c:pt idx="16">
                  <c:v>SUITES</c:v>
                </c:pt>
                <c:pt idx="17">
                  <c:v>THE DIPLOMAT</c:v>
                </c:pt>
                <c:pt idx="18">
                  <c:v>THE GOOD DOCTOR</c:v>
                </c:pt>
                <c:pt idx="19">
                  <c:v>WHEN LIGE GIVES YOU TANGRIES</c:v>
                </c:pt>
                <c:pt idx="20">
                  <c:v>YOUNG SHELDON</c:v>
                </c:pt>
                <c:pt idx="21">
                  <c:v>(blank)</c:v>
                </c:pt>
              </c:strCache>
            </c:strRef>
          </c:cat>
          <c:val>
            <c:numRef>
              <c:f>'TITLE BY YEAR'!$B$4:$B$26</c:f>
              <c:numCache>
                <c:formatCode>General</c:formatCode>
                <c:ptCount val="22"/>
                <c:pt idx="0">
                  <c:v>2018</c:v>
                </c:pt>
                <c:pt idx="1">
                  <c:v>2016</c:v>
                </c:pt>
                <c:pt idx="2">
                  <c:v>2025</c:v>
                </c:pt>
                <c:pt idx="3">
                  <c:v>2025</c:v>
                </c:pt>
                <c:pt idx="4">
                  <c:v>2025</c:v>
                </c:pt>
                <c:pt idx="5">
                  <c:v>2025</c:v>
                </c:pt>
                <c:pt idx="6">
                  <c:v>2020</c:v>
                </c:pt>
                <c:pt idx="7">
                  <c:v>2025</c:v>
                </c:pt>
                <c:pt idx="8">
                  <c:v>2025</c:v>
                </c:pt>
                <c:pt idx="9">
                  <c:v>1994</c:v>
                </c:pt>
                <c:pt idx="10">
                  <c:v>2025</c:v>
                </c:pt>
                <c:pt idx="11">
                  <c:v>2024</c:v>
                </c:pt>
                <c:pt idx="12">
                  <c:v>2025</c:v>
                </c:pt>
                <c:pt idx="13">
                  <c:v>2022</c:v>
                </c:pt>
                <c:pt idx="14">
                  <c:v>2025</c:v>
                </c:pt>
                <c:pt idx="15">
                  <c:v>2016</c:v>
                </c:pt>
                <c:pt idx="16">
                  <c:v>2019</c:v>
                </c:pt>
                <c:pt idx="17">
                  <c:v>2025</c:v>
                </c:pt>
                <c:pt idx="18">
                  <c:v>2017</c:v>
                </c:pt>
                <c:pt idx="19">
                  <c:v>2025</c:v>
                </c:pt>
                <c:pt idx="20">
                  <c:v>2025</c:v>
                </c:pt>
              </c:numCache>
            </c:numRef>
          </c:val>
          <c:extLst>
            <c:ext xmlns:c16="http://schemas.microsoft.com/office/drawing/2014/chart" uri="{C3380CC4-5D6E-409C-BE32-E72D297353CC}">
              <c16:uniqueId val="{00000002-AA90-4C31-9AE1-5AED7BDF02D5}"/>
            </c:ext>
          </c:extLst>
        </c:ser>
        <c:dLbls>
          <c:showLegendKey val="0"/>
          <c:showVal val="0"/>
          <c:showCatName val="0"/>
          <c:showSerName val="0"/>
          <c:showPercent val="0"/>
          <c:showBubbleSize val="0"/>
        </c:dLbls>
        <c:gapWidth val="150"/>
        <c:shape val="box"/>
        <c:axId val="1393973936"/>
        <c:axId val="1393978736"/>
        <c:axId val="0"/>
      </c:bar3DChart>
      <c:catAx>
        <c:axId val="1393973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393978736"/>
        <c:crosses val="autoZero"/>
        <c:auto val="1"/>
        <c:lblAlgn val="ctr"/>
        <c:lblOffset val="100"/>
        <c:noMultiLvlLbl val="0"/>
      </c:catAx>
      <c:valAx>
        <c:axId val="1393978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393973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[NETFLIX DASH.xlsm]TITLE BY SEASONS!PivotTable6</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t>TITLE BY SEASONS</a:t>
            </a:r>
          </a:p>
        </c:rich>
      </c:tx>
      <c:layout>
        <c:manualLayout>
          <c:xMode val="edge"/>
          <c:yMode val="edge"/>
          <c:x val="0.50621522309711287"/>
          <c:y val="0.13323855351414407"/>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'TITLE BY SEASONS'!$B$3</c:f>
              <c:strCache>
                <c:ptCount val="1"/>
                <c:pt idx="0">
                  <c:v>Total</c:v>
                </c:pt>
              </c:strCache>
            </c:strRef>
          </c:tx>
          <c:spPr>
            <a:solidFill>
              <a:schemeClr val="accent4"/>
            </a:solidFill>
            <a:ln>
              <a:noFill/>
            </a:ln>
            <a:effectLst/>
            <a:sp3d/>
          </c:spPr>
          <c:invertIfNegative val="0"/>
          <c:cat>
            <c:strRef>
              <c:f>'TITLE BY SEASONS'!$A$4:$A$26</c:f>
              <c:strCache>
                <c:ptCount val="22"/>
                <c:pt idx="0">
                  <c:v>BIG BANG THEORY</c:v>
                </c:pt>
                <c:pt idx="1">
                  <c:v>BROOKLYN NINE-NINE</c:v>
                </c:pt>
                <c:pt idx="2">
                  <c:v>CHAVVA </c:v>
                </c:pt>
                <c:pt idx="3">
                  <c:v>COURT STATE VS NOBODY</c:v>
                </c:pt>
                <c:pt idx="4">
                  <c:v>DAAKU MAHARAJ</c:v>
                </c:pt>
                <c:pt idx="5">
                  <c:v>DABBA CARTEL</c:v>
                </c:pt>
                <c:pt idx="6">
                  <c:v>DEMON SLAYER</c:v>
                </c:pt>
                <c:pt idx="7">
                  <c:v>EMERGENCY</c:v>
                </c:pt>
                <c:pt idx="8">
                  <c:v>EXTERRITORIAL</c:v>
                </c:pt>
                <c:pt idx="9">
                  <c:v>FRIENDS</c:v>
                </c:pt>
                <c:pt idx="10">
                  <c:v>JEWEL THEIF</c:v>
                </c:pt>
                <c:pt idx="11">
                  <c:v>MAAMLA LEGAL HAI</c:v>
                </c:pt>
                <c:pt idx="12">
                  <c:v>MAD SQUARE</c:v>
                </c:pt>
                <c:pt idx="13">
                  <c:v>MONICA O MY DARLING</c:v>
                </c:pt>
                <c:pt idx="14">
                  <c:v>NADANIYAAN</c:v>
                </c:pt>
                <c:pt idx="15">
                  <c:v>STRANGER THINGS</c:v>
                </c:pt>
                <c:pt idx="16">
                  <c:v>SUITES</c:v>
                </c:pt>
                <c:pt idx="17">
                  <c:v>THE DIPLOMAT</c:v>
                </c:pt>
                <c:pt idx="18">
                  <c:v>THE GOOD DOCTOR</c:v>
                </c:pt>
                <c:pt idx="19">
                  <c:v>WHEN LIGE GIVES YOU TANGRIES</c:v>
                </c:pt>
                <c:pt idx="20">
                  <c:v>YOUNG SHELDON</c:v>
                </c:pt>
                <c:pt idx="21">
                  <c:v>(blank)</c:v>
                </c:pt>
              </c:strCache>
            </c:strRef>
          </c:cat>
          <c:val>
            <c:numRef>
              <c:f>'TITLE BY SEASONS'!$B$4:$B$26</c:f>
              <c:numCache>
                <c:formatCode>General</c:formatCode>
                <c:ptCount val="22"/>
                <c:pt idx="0">
                  <c:v>12</c:v>
                </c:pt>
                <c:pt idx="1">
                  <c:v>8</c:v>
                </c:pt>
                <c:pt idx="2">
                  <c:v>0</c:v>
                </c:pt>
                <c:pt idx="3">
                  <c:v>0</c:v>
                </c:pt>
                <c:pt idx="4">
                  <c:v>0</c:v>
                </c:pt>
                <c:pt idx="5">
                  <c:v>1</c:v>
                </c:pt>
                <c:pt idx="6">
                  <c:v>4</c:v>
                </c:pt>
                <c:pt idx="7">
                  <c:v>0</c:v>
                </c:pt>
                <c:pt idx="8">
                  <c:v>0</c:v>
                </c:pt>
                <c:pt idx="9">
                  <c:v>10</c:v>
                </c:pt>
                <c:pt idx="10">
                  <c:v>0</c:v>
                </c:pt>
                <c:pt idx="11">
                  <c:v>1</c:v>
                </c:pt>
                <c:pt idx="12">
                  <c:v>0</c:v>
                </c:pt>
                <c:pt idx="13">
                  <c:v>0</c:v>
                </c:pt>
                <c:pt idx="14">
                  <c:v>0</c:v>
                </c:pt>
                <c:pt idx="15">
                  <c:v>4</c:v>
                </c:pt>
                <c:pt idx="16">
                  <c:v>9</c:v>
                </c:pt>
                <c:pt idx="17">
                  <c:v>0</c:v>
                </c:pt>
                <c:pt idx="18">
                  <c:v>6</c:v>
                </c:pt>
                <c:pt idx="19">
                  <c:v>1</c:v>
                </c:pt>
                <c:pt idx="20">
                  <c:v>5</c:v>
                </c:pt>
              </c:numCache>
            </c:numRef>
          </c:val>
          <c:extLst>
            <c:ext xmlns:c16="http://schemas.microsoft.com/office/drawing/2014/chart" uri="{C3380CC4-5D6E-409C-BE32-E72D297353CC}">
              <c16:uniqueId val="{00000000-431D-416B-BD8A-3F8970A98B87}"/>
            </c:ext>
          </c:extLst>
        </c:ser>
        <c:dLbls>
          <c:showLegendKey val="0"/>
          <c:showVal val="0"/>
          <c:showCatName val="0"/>
          <c:showSerName val="0"/>
          <c:showPercent val="0"/>
          <c:showBubbleSize val="0"/>
        </c:dLbls>
        <c:gapWidth val="150"/>
        <c:shape val="box"/>
        <c:axId val="1502084352"/>
        <c:axId val="1502083392"/>
        <c:axId val="0"/>
      </c:bar3DChart>
      <c:catAx>
        <c:axId val="1502084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02083392"/>
        <c:crosses val="autoZero"/>
        <c:auto val="1"/>
        <c:lblAlgn val="ctr"/>
        <c:lblOffset val="100"/>
        <c:noMultiLvlLbl val="0"/>
      </c:catAx>
      <c:valAx>
        <c:axId val="1502083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02084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[NETFLIX DASH.xlsm]TITLE BY RATING!PivotTable4</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a:t>TITLE</a:t>
            </a:r>
            <a:r>
              <a:rPr lang="en-US" baseline="0"/>
              <a:t> BY RATING</a:t>
            </a:r>
          </a:p>
          <a:p>
            <a:pPr>
              <a:defRPr/>
            </a:pP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9904967903108498"/>
          <c:y val="0.27928749022109045"/>
          <c:w val="0.50348316099041834"/>
          <c:h val="0.54781808825940359"/>
        </c:manualLayout>
      </c:layout>
      <c:bar3DChart>
        <c:barDir val="bar"/>
        <c:grouping val="clustered"/>
        <c:varyColors val="0"/>
        <c:ser>
          <c:idx val="0"/>
          <c:order val="0"/>
          <c:tx>
            <c:strRef>
              <c:f>'TITLE BY RATING'!$B$3</c:f>
              <c:strCache>
                <c:ptCount val="1"/>
                <c:pt idx="0">
                  <c:v>Total</c:v>
                </c:pt>
              </c:strCache>
            </c:strRef>
          </c:tx>
          <c:spPr>
            <a:solidFill>
              <a:schemeClr val="accent4"/>
            </a:solidFill>
            <a:ln>
              <a:noFill/>
            </a:ln>
            <a:effectLst/>
            <a:sp3d/>
          </c:spPr>
          <c:invertIfNegative val="0"/>
          <c:cat>
            <c:strRef>
              <c:f>'TITLE BY RATING'!$A$4:$A$8</c:f>
              <c:strCache>
                <c:ptCount val="4"/>
                <c:pt idx="0">
                  <c:v>A</c:v>
                </c:pt>
                <c:pt idx="1">
                  <c:v>U/A 16+</c:v>
                </c:pt>
                <c:pt idx="2">
                  <c:v>U/A13+</c:v>
                </c:pt>
                <c:pt idx="3">
                  <c:v>(blank)</c:v>
                </c:pt>
              </c:strCache>
            </c:strRef>
          </c:cat>
          <c:val>
            <c:numRef>
              <c:f>'TITLE BY RATING'!$B$4:$B$8</c:f>
              <c:numCache>
                <c:formatCode>General</c:formatCode>
                <c:ptCount val="4"/>
                <c:pt idx="0">
                  <c:v>1</c:v>
                </c:pt>
                <c:pt idx="1">
                  <c:v>15</c:v>
                </c:pt>
                <c:pt idx="2">
                  <c:v>5</c:v>
                </c:pt>
              </c:numCache>
            </c:numRef>
          </c:val>
          <c:extLst>
            <c:ext xmlns:c16="http://schemas.microsoft.com/office/drawing/2014/chart" uri="{C3380CC4-5D6E-409C-BE32-E72D297353CC}">
              <c16:uniqueId val="{00000000-34AE-43BB-A73D-A58D027E78B8}"/>
            </c:ext>
          </c:extLst>
        </c:ser>
        <c:dLbls>
          <c:showLegendKey val="0"/>
          <c:showVal val="0"/>
          <c:showCatName val="0"/>
          <c:showSerName val="0"/>
          <c:showPercent val="0"/>
          <c:showBubbleSize val="0"/>
        </c:dLbls>
        <c:gapWidth val="150"/>
        <c:shape val="box"/>
        <c:axId val="2096309855"/>
        <c:axId val="2096311775"/>
        <c:axId val="0"/>
      </c:bar3DChart>
      <c:catAx>
        <c:axId val="20963098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96311775"/>
        <c:crosses val="autoZero"/>
        <c:auto val="1"/>
        <c:lblAlgn val="ctr"/>
        <c:lblOffset val="100"/>
        <c:noMultiLvlLbl val="0"/>
      </c:catAx>
      <c:valAx>
        <c:axId val="20963117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96309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[NETFLIX DASH.xlsm]TITLE BY COUNTRY!PivotTable10</c:name>
    <c:fmtId val="14"/>
  </c:pivotSource>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TITLE BY COUNTRY</a:t>
            </a:r>
          </a:p>
          <a:p>
            <a:pPr>
              <a:defRPr sz="1400"/>
            </a:pPr>
            <a:endParaRPr lang="en-US" sz="1400"/>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'TITLE BY COUNTRY'!$B$3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0-0688-4739-8056-2084BA9D68D8}"/>
              </c:ext>
            </c:extLst>
          </c:dPt>
          <c:dPt>
            <c:idx val="1"/>
            <c:invertIfNegative val="0"/>
            <c:bubble3D val="0"/>
            <c:extLst>
              <c:ext xmlns:c16="http://schemas.microsoft.com/office/drawing/2014/chart" uri="{C3380CC4-5D6E-409C-BE32-E72D297353CC}">
                <c16:uniqueId val="{00000001-0688-4739-8056-2084BA9D68D8}"/>
              </c:ext>
            </c:extLst>
          </c:dPt>
          <c:dPt>
            <c:idx val="2"/>
            <c:invertIfNegative val="0"/>
            <c:bubble3D val="0"/>
            <c:extLst>
              <c:ext xmlns:c16="http://schemas.microsoft.com/office/drawing/2014/chart" uri="{C3380CC4-5D6E-409C-BE32-E72D297353CC}">
                <c16:uniqueId val="{00000002-0688-4739-8056-2084BA9D68D8}"/>
              </c:ext>
            </c:extLst>
          </c:dPt>
          <c:dPt>
            <c:idx val="3"/>
            <c:invertIfNegative val="0"/>
            <c:bubble3D val="0"/>
            <c:extLst>
              <c:ext xmlns:c16="http://schemas.microsoft.com/office/drawing/2014/chart" uri="{C3380CC4-5D6E-409C-BE32-E72D297353CC}">
                <c16:uniqueId val="{00000003-0688-4739-8056-2084BA9D68D8}"/>
              </c:ext>
            </c:extLst>
          </c:dPt>
          <c:dPt>
            <c:idx val="4"/>
            <c:invertIfNegative val="0"/>
            <c:bubble3D val="0"/>
            <c:extLst>
              <c:ext xmlns:c16="http://schemas.microsoft.com/office/drawing/2014/chart" uri="{C3380CC4-5D6E-409C-BE32-E72D297353CC}">
                <c16:uniqueId val="{00000004-0688-4739-8056-2084BA9D68D8}"/>
              </c:ext>
            </c:extLst>
          </c:dPt>
          <c:cat>
            <c:strRef>
              <c:f>'TITLE BY COUNTRY'!$A$4:$A$8</c:f>
              <c:strCache>
                <c:ptCount val="4"/>
                <c:pt idx="0">
                  <c:v>INDIA</c:v>
                </c:pt>
                <c:pt idx="1">
                  <c:v>JAPAN</c:v>
                </c:pt>
                <c:pt idx="2">
                  <c:v>KOREA</c:v>
                </c:pt>
                <c:pt idx="3">
                  <c:v>UNITED STATES</c:v>
                </c:pt>
              </c:strCache>
            </c:strRef>
          </c:cat>
          <c:val>
            <c:numRef>
              <c:f>'TITLE BY COUNTRY'!$B$4:$B$8</c:f>
              <c:numCache>
                <c:formatCode>General</c:formatCode>
                <c:ptCount val="4"/>
                <c:pt idx="0">
                  <c:v>11</c:v>
                </c:pt>
                <c:pt idx="1">
                  <c:v>1</c:v>
                </c:pt>
                <c:pt idx="2">
                  <c:v>1</c:v>
                </c:pt>
                <c:pt idx="3">
                  <c:v>8</c:v>
                </c:pt>
              </c:numCache>
            </c:numRef>
          </c:val>
          <c:extLst>
            <c:ext xmlns:c16="http://schemas.microsoft.com/office/drawing/2014/chart" uri="{C3380CC4-5D6E-409C-BE32-E72D297353CC}">
              <c16:uniqueId val="{00000005-0688-4739-8056-2084BA9D68D8}"/>
            </c:ext>
          </c:extLst>
        </c:ser>
        <c:dLbls>
          <c:showLegendKey val="0"/>
          <c:showVal val="0"/>
          <c:showCatName val="0"/>
          <c:showSerName val="0"/>
          <c:showPercent val="0"/>
          <c:showBubbleSize val="0"/>
        </c:dLbls>
        <c:gapWidth val="115"/>
        <c:overlap val="-20"/>
        <c:axId val="1547808128"/>
        <c:axId val="1547806208"/>
      </c:barChart>
      <c:valAx>
        <c:axId val="154780620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7808128"/>
        <c:crosses val="autoZero"/>
        <c:crossBetween val="between"/>
      </c:valAx>
      <c:catAx>
        <c:axId val="15478081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78062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DASH.xlsm]MOVIR VS SERIES!PivotTable2</c:name>
    <c:fmtId val="7"/>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IN">
                <a:solidFill>
                  <a:schemeClr val="bg1"/>
                </a:solidFill>
              </a:rPr>
              <a:t>MOVIE VS TV SERIES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2"/>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3145013348163568E-2"/>
          <c:y val="0.3380449713977961"/>
          <c:w val="0.70998113320356859"/>
          <c:h val="0.60129152753004411"/>
        </c:manualLayout>
      </c:layout>
      <c:pie3DChart>
        <c:varyColors val="1"/>
        <c:ser>
          <c:idx val="0"/>
          <c:order val="0"/>
          <c:tx>
            <c:strRef>
              <c:f>'MOVIR VS SERIES'!$B$3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6CE-4C71-BB6F-01A597E808D0}"/>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B6CE-4C71-BB6F-01A597E808D0}"/>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B6CE-4C71-BB6F-01A597E808D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'MOVIR VS SERIES'!$A$4:$A$7</c:f>
              <c:strCache>
                <c:ptCount val="3"/>
                <c:pt idx="0">
                  <c:v>movie</c:v>
                </c:pt>
                <c:pt idx="1">
                  <c:v>tv series</c:v>
                </c:pt>
                <c:pt idx="2">
                  <c:v>(blank)</c:v>
                </c:pt>
              </c:strCache>
            </c:strRef>
          </c:cat>
          <c:val>
            <c:numRef>
              <c:f>'MOVIR VS SERIES'!$B$4:$B$7</c:f>
              <c:numCache>
                <c:formatCode>General</c:formatCode>
                <c:ptCount val="3"/>
                <c:pt idx="0">
                  <c:v>10</c:v>
                </c:pt>
                <c:pt idx="1">
                  <c:v>9</c:v>
                </c:pt>
              </c:numCache>
            </c:numRef>
          </c:val>
          <c:extLst>
            <c:ext xmlns:c16="http://schemas.microsoft.com/office/drawing/2014/chart" uri="{C3380CC4-5D6E-409C-BE32-E72D297353CC}">
              <c16:uniqueId val="{00000006-B6CE-4C71-BB6F-01A597E808D0}"/>
            </c:ext>
          </c:extLst>
        </c:ser>
        <c:dLbls>
          <c:dLblPos val="ctr"/>
          <c:showLegendKey val="0"/>
          <c:showVal val="0"/>
          <c:showCatName val="0"/>
          <c:showSerName val="0"/>
          <c:showPercent val="1"/>
          <c:showBubbleSize val="0"/>
          <c:showLeaderLines val="1"/>
        </c:dLbls>
      </c:pie3DChart>
      <c:spPr>
        <a:solidFill>
          <a:schemeClr val="tx1">
            <a:lumMod val="75000"/>
            <a:lumOff val="25000"/>
          </a:schemeClr>
        </a:solidFill>
        <a:ln>
          <a:noFill/>
        </a:ln>
        <a:effectLst/>
      </c:spPr>
    </c:plotArea>
    <c:legend>
      <c:legendPos val="r"/>
      <c:legendEntry>
        <c:idx val="2"/>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Entry>
      <c:layout>
        <c:manualLayout>
          <c:xMode val="edge"/>
          <c:yMode val="edge"/>
          <c:x val="0.83954800356457182"/>
          <c:y val="0.29897552721319282"/>
          <c:w val="0.1423728982455208"/>
          <c:h val="0.48672229610555451"/>
        </c:manualLayout>
      </c:layout>
      <c:overlay val="0"/>
      <c:spPr>
        <a:solidFill>
          <a:schemeClr val="tx1">
            <a:lumMod val="50000"/>
            <a:lumOff val="50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chart" Target="../charts/chart11.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hyperlink" Target="https://mronline.org/2021/10/25/netflix-launches-a-new-collection-of-palestinian-movies/" TargetMode="External"/></Relationships>
</file>

<file path=xl/drawings/drawing1.xml><?xml version="1.0" encoding="utf-8"?>
<xdr:wsDr xmlns:xdr="http://schemas.openxmlformats.org/drawingml/2006/spreadsheetDrawing" xmlns:a="http://schemas.openxmlformats.org/drawingml/2006/main">
  <xdr:twoCellAnchor>
    <xdr:from>
      <xdr:col>3</xdr:col>
      <xdr:colOff>209550</xdr:colOff>
      <xdr:row>3</xdr:row>
      <xdr:rowOff>0</xdr:rowOff>
    </xdr:from>
    <xdr:to>
      <xdr:col>10</xdr:col>
      <xdr:colOff>514350</xdr:colOff>
      <xdr:row>17</xdr:row>
      <xdr:rowOff>76200</xdr:rowOff>
    </xdr:to>
    <xdr:graphicFrame macro="">
      <xdr:nvGraphicFramePr>
        <xdr:cNvPr id="2" name="Chart 1">
          <a:extLst>
            <a:ext uri="{FF2B5EF4-FFF2-40B4-BE49-F238E27FC236}">
              <a16:creationId xmlns:a16="http://schemas.microsoft.com/office/drawing/2014/main" id="{931175B5-8D08-DDBE-EF1F-D09DEF974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133350</xdr:colOff>
      <xdr:row>5</xdr:row>
      <xdr:rowOff>123825</xdr:rowOff>
    </xdr:from>
    <xdr:to>
      <xdr:col>12</xdr:col>
      <xdr:colOff>438150</xdr:colOff>
      <xdr:row>20</xdr:row>
      <xdr:rowOff>9525</xdr:rowOff>
    </xdr:to>
    <xdr:graphicFrame macro="">
      <xdr:nvGraphicFramePr>
        <xdr:cNvPr id="2" name="Chart 1">
          <a:extLst>
            <a:ext uri="{FF2B5EF4-FFF2-40B4-BE49-F238E27FC236}">
              <a16:creationId xmlns:a16="http://schemas.microsoft.com/office/drawing/2014/main" id="{9076397E-4A07-08B2-8622-1D0F2BFCAF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1095375</xdr:colOff>
      <xdr:row>6</xdr:row>
      <xdr:rowOff>152400</xdr:rowOff>
    </xdr:from>
    <xdr:to>
      <xdr:col>7</xdr:col>
      <xdr:colOff>352425</xdr:colOff>
      <xdr:row>28</xdr:row>
      <xdr:rowOff>0</xdr:rowOff>
    </xdr:to>
    <xdr:graphicFrame macro="">
      <xdr:nvGraphicFramePr>
        <xdr:cNvPr id="2" name="Chart 1">
          <a:extLst>
            <a:ext uri="{FF2B5EF4-FFF2-40B4-BE49-F238E27FC236}">
              <a16:creationId xmlns:a16="http://schemas.microsoft.com/office/drawing/2014/main" id="{49E07F22-E6C8-33E2-28F5-8C12560C3E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142875</xdr:colOff>
      <xdr:row>5</xdr:row>
      <xdr:rowOff>85725</xdr:rowOff>
    </xdr:from>
    <xdr:to>
      <xdr:col>7</xdr:col>
      <xdr:colOff>419100</xdr:colOff>
      <xdr:row>19</xdr:row>
      <xdr:rowOff>161925</xdr:rowOff>
    </xdr:to>
    <xdr:graphicFrame macro="">
      <xdr:nvGraphicFramePr>
        <xdr:cNvPr id="2" name="Chart 1">
          <a:extLst>
            <a:ext uri="{FF2B5EF4-FFF2-40B4-BE49-F238E27FC236}">
              <a16:creationId xmlns:a16="http://schemas.microsoft.com/office/drawing/2014/main" id="{1BD19BC1-0813-D14E-D62B-7508E71780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666750</xdr:colOff>
      <xdr:row>12</xdr:row>
      <xdr:rowOff>85725</xdr:rowOff>
    </xdr:from>
    <xdr:to>
      <xdr:col>13</xdr:col>
      <xdr:colOff>523875</xdr:colOff>
      <xdr:row>24</xdr:row>
      <xdr:rowOff>38100</xdr:rowOff>
    </xdr:to>
    <xdr:graphicFrame macro="">
      <xdr:nvGraphicFramePr>
        <xdr:cNvPr id="2" name="Chart 1">
          <a:extLst>
            <a:ext uri="{FF2B5EF4-FFF2-40B4-BE49-F238E27FC236}">
              <a16:creationId xmlns:a16="http://schemas.microsoft.com/office/drawing/2014/main" id="{35D43DF0-486A-5B56-CAD6-5CDD666A8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381000</xdr:colOff>
      <xdr:row>12</xdr:row>
      <xdr:rowOff>133350</xdr:rowOff>
    </xdr:from>
    <xdr:to>
      <xdr:col>13</xdr:col>
      <xdr:colOff>66675</xdr:colOff>
      <xdr:row>24</xdr:row>
      <xdr:rowOff>38100</xdr:rowOff>
    </xdr:to>
    <xdr:graphicFrame macro="">
      <xdr:nvGraphicFramePr>
        <xdr:cNvPr id="2" name="Chart 1">
          <a:extLst>
            <a:ext uri="{FF2B5EF4-FFF2-40B4-BE49-F238E27FC236}">
              <a16:creationId xmlns:a16="http://schemas.microsoft.com/office/drawing/2014/main" id="{DCCF2AA6-8455-B549-3E68-8F8E4E89B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190500</xdr:colOff>
      <xdr:row>28</xdr:row>
      <xdr:rowOff>154781</xdr:rowOff>
    </xdr:from>
    <xdr:to>
      <xdr:col>12</xdr:col>
      <xdr:colOff>330992</xdr:colOff>
      <xdr:row>45</xdr:row>
      <xdr:rowOff>45243</xdr:rowOff>
    </xdr:to>
    <xdr:graphicFrame macro="">
      <xdr:nvGraphicFramePr>
        <xdr:cNvPr id="2" name="Chart 1">
          <a:extLst>
            <a:ext uri="{FF2B5EF4-FFF2-40B4-BE49-F238E27FC236}">
              <a16:creationId xmlns:a16="http://schemas.microsoft.com/office/drawing/2014/main" id="{01ACB644-34D0-46EB-BEB5-1EACC69469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404812</xdr:colOff>
      <xdr:row>28</xdr:row>
      <xdr:rowOff>107157</xdr:rowOff>
    </xdr:from>
    <xdr:to>
      <xdr:col>19</xdr:col>
      <xdr:colOff>440531</xdr:colOff>
      <xdr:row>46</xdr:row>
      <xdr:rowOff>100013</xdr:rowOff>
    </xdr:to>
    <xdr:graphicFrame macro="">
      <xdr:nvGraphicFramePr>
        <xdr:cNvPr id="5" name="Chart 4">
          <a:extLst>
            <a:ext uri="{FF2B5EF4-FFF2-40B4-BE49-F238E27FC236}">
              <a16:creationId xmlns:a16="http://schemas.microsoft.com/office/drawing/2014/main" id="{68F30F01-9AAC-44A3-A665-61A4672A2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202405</xdr:colOff>
      <xdr:row>1</xdr:row>
      <xdr:rowOff>23813</xdr:rowOff>
    </xdr:from>
    <xdr:to>
      <xdr:col>10</xdr:col>
      <xdr:colOff>1752599</xdr:colOff>
      <xdr:row>8</xdr:row>
      <xdr:rowOff>2382</xdr:rowOff>
    </xdr:to>
    <xdr:sp macro="" textlink="">
      <xdr:nvSpPr>
        <xdr:cNvPr id="21" name="TextBox 20">
          <a:extLst>
            <a:ext uri="{FF2B5EF4-FFF2-40B4-BE49-F238E27FC236}">
              <a16:creationId xmlns:a16="http://schemas.microsoft.com/office/drawing/2014/main" id="{1799F8A9-71E7-B961-447D-C0D6482BD158}"/>
            </a:ext>
          </a:extLst>
        </xdr:cNvPr>
        <xdr:cNvSpPr txBox="1"/>
      </xdr:nvSpPr>
      <xdr:spPr>
        <a:xfrm>
          <a:off x="6274593" y="214313"/>
          <a:ext cx="1550194" cy="1312069"/>
        </a:xfrm>
        <a:prstGeom prst="rect">
          <a:avLst/>
        </a:prstGeom>
        <a:solidFill>
          <a:schemeClr val="tx1">
            <a:lumMod val="75000"/>
            <a:lumOff val="25000"/>
          </a:schemeClr>
        </a:solidFill>
        <a:ln w="9525" cmpd="sng">
          <a:solidFill>
            <a:schemeClr val="lt1">
              <a:shade val="50000"/>
            </a:schemeClr>
          </a:solidFill>
        </a:ln>
        <a:effectLst>
          <a:reflection blurRad="6350" stA="52000" endA="300" endPos="350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u="dbl">
              <a:solidFill>
                <a:schemeClr val="bg1"/>
              </a:solidFill>
            </a:rPr>
            <a:t>Total Title</a:t>
          </a:r>
          <a:br>
            <a:rPr lang="en-IN" sz="1600" b="1" u="dbl">
              <a:solidFill>
                <a:schemeClr val="bg1"/>
              </a:solidFill>
            </a:rPr>
          </a:br>
          <a:r>
            <a:rPr lang="en-IN" sz="2800" b="1" u="none">
              <a:solidFill>
                <a:schemeClr val="bg1"/>
              </a:solidFill>
            </a:rPr>
            <a:t>21</a:t>
          </a:r>
        </a:p>
      </xdr:txBody>
    </xdr:sp>
    <xdr:clientData/>
  </xdr:twoCellAnchor>
  <xdr:twoCellAnchor>
    <xdr:from>
      <xdr:col>7</xdr:col>
      <xdr:colOff>135731</xdr:colOff>
      <xdr:row>1</xdr:row>
      <xdr:rowOff>16666</xdr:rowOff>
    </xdr:from>
    <xdr:to>
      <xdr:col>9</xdr:col>
      <xdr:colOff>400050</xdr:colOff>
      <xdr:row>8</xdr:row>
      <xdr:rowOff>107155</xdr:rowOff>
    </xdr:to>
    <xdr:sp macro="" textlink="">
      <xdr:nvSpPr>
        <xdr:cNvPr id="6" name="TextBox 5">
          <a:extLst>
            <a:ext uri="{FF2B5EF4-FFF2-40B4-BE49-F238E27FC236}">
              <a16:creationId xmlns:a16="http://schemas.microsoft.com/office/drawing/2014/main" id="{10634001-D695-9059-2D68-5B40F9804CE8}"/>
            </a:ext>
          </a:extLst>
        </xdr:cNvPr>
        <xdr:cNvSpPr txBox="1"/>
      </xdr:nvSpPr>
      <xdr:spPr>
        <a:xfrm>
          <a:off x="4386262" y="207166"/>
          <a:ext cx="1478757" cy="1423989"/>
        </a:xfrm>
        <a:prstGeom prst="rect">
          <a:avLst/>
        </a:prstGeom>
        <a:solidFill>
          <a:schemeClr val="tx1">
            <a:lumMod val="75000"/>
            <a:lumOff val="25000"/>
          </a:schemeClr>
        </a:solidFill>
        <a:ln w="9525" cmpd="sng">
          <a:solidFill>
            <a:schemeClr val="lt1">
              <a:shade val="50000"/>
            </a:schemeClr>
          </a:solidFill>
        </a:ln>
        <a:effectLst>
          <a:reflection blurRad="6350" stA="52000" endA="300" endPos="350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u="sng">
              <a:solidFill>
                <a:schemeClr val="bg1"/>
              </a:solidFill>
            </a:rPr>
            <a:t>Total</a:t>
          </a:r>
          <a:r>
            <a:rPr lang="en-IN" sz="1800" b="1" u="sng" baseline="0">
              <a:solidFill>
                <a:schemeClr val="bg1"/>
              </a:solidFill>
            </a:rPr>
            <a:t> Genres</a:t>
          </a:r>
          <a:br>
            <a:rPr lang="en-IN" sz="1800" b="1" baseline="0">
              <a:solidFill>
                <a:schemeClr val="bg1"/>
              </a:solidFill>
            </a:rPr>
          </a:br>
          <a:r>
            <a:rPr lang="en-IN" sz="1800" b="0" baseline="0">
              <a:solidFill>
                <a:schemeClr val="bg1"/>
              </a:solidFill>
            </a:rPr>
            <a:t>21</a:t>
          </a:r>
          <a:endParaRPr lang="en-IN" sz="1800" b="0">
            <a:solidFill>
              <a:schemeClr val="bg1"/>
            </a:solidFill>
          </a:endParaRPr>
        </a:p>
      </xdr:txBody>
    </xdr:sp>
    <xdr:clientData/>
  </xdr:twoCellAnchor>
  <xdr:twoCellAnchor editAs="oneCell">
    <xdr:from>
      <xdr:col>9</xdr:col>
      <xdr:colOff>609599</xdr:colOff>
      <xdr:row>2</xdr:row>
      <xdr:rowOff>28575</xdr:rowOff>
    </xdr:from>
    <xdr:to>
      <xdr:col>10</xdr:col>
      <xdr:colOff>847724</xdr:colOff>
      <xdr:row>6</xdr:row>
      <xdr:rowOff>114300</xdr:rowOff>
    </xdr:to>
    <xdr:sp macro="" textlink="">
      <xdr:nvSpPr>
        <xdr:cNvPr id="6146" name="AutoShape 2" descr="NETFLIX N Logo PNG Vector">
          <a:extLst>
            <a:ext uri="{FF2B5EF4-FFF2-40B4-BE49-F238E27FC236}">
              <a16:creationId xmlns:a16="http://schemas.microsoft.com/office/drawing/2014/main" id="{E069E205-4ECC-B5C4-465F-DF83A8E4BBF2}"/>
            </a:ext>
          </a:extLst>
        </xdr:cNvPr>
        <xdr:cNvSpPr>
          <a:spLocks noChangeAspect="1" noChangeArrowheads="1"/>
        </xdr:cNvSpPr>
      </xdr:nvSpPr>
      <xdr:spPr bwMode="auto">
        <a:xfrm>
          <a:off x="6095999" y="657225"/>
          <a:ext cx="847725" cy="8477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114300</xdr:rowOff>
    </xdr:to>
    <xdr:sp macro="" textlink="">
      <xdr:nvSpPr>
        <xdr:cNvPr id="6147" name="AutoShape 3" descr="NETFLIX N Logo PNG Vector">
          <a:extLst>
            <a:ext uri="{FF2B5EF4-FFF2-40B4-BE49-F238E27FC236}">
              <a16:creationId xmlns:a16="http://schemas.microsoft.com/office/drawing/2014/main" id="{7B601A18-0913-19E1-C516-5D2DC1C9E744}"/>
            </a:ext>
          </a:extLst>
        </xdr:cNvPr>
        <xdr:cNvSpPr>
          <a:spLocks noChangeAspect="1" noChangeArrowheads="1"/>
        </xdr:cNvSpPr>
      </xdr:nvSpPr>
      <xdr:spPr bwMode="auto">
        <a:xfrm>
          <a:off x="6096000" y="1581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114300</xdr:rowOff>
    </xdr:to>
    <xdr:sp macro="" textlink="">
      <xdr:nvSpPr>
        <xdr:cNvPr id="6149" name="AutoShape 5" descr="NETFLIX N Logo PNG Vector">
          <a:extLst>
            <a:ext uri="{FF2B5EF4-FFF2-40B4-BE49-F238E27FC236}">
              <a16:creationId xmlns:a16="http://schemas.microsoft.com/office/drawing/2014/main" id="{6A70DA1B-B83D-22E8-4AF9-6BB35D1B7C71}"/>
            </a:ext>
          </a:extLst>
        </xdr:cNvPr>
        <xdr:cNvSpPr>
          <a:spLocks noChangeAspect="1" noChangeArrowheads="1"/>
        </xdr:cNvSpPr>
      </xdr:nvSpPr>
      <xdr:spPr bwMode="auto">
        <a:xfrm>
          <a:off x="6096000" y="1581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2739290</xdr:colOff>
      <xdr:row>10</xdr:row>
      <xdr:rowOff>189140</xdr:rowOff>
    </xdr:from>
    <xdr:to>
      <xdr:col>17</xdr:col>
      <xdr:colOff>573810</xdr:colOff>
      <xdr:row>22</xdr:row>
      <xdr:rowOff>130969</xdr:rowOff>
    </xdr:to>
    <xdr:pic>
      <xdr:nvPicPr>
        <xdr:cNvPr id="10" name="Picture 9">
          <a:extLst>
            <a:ext uri="{FF2B5EF4-FFF2-40B4-BE49-F238E27FC236}">
              <a16:creationId xmlns:a16="http://schemas.microsoft.com/office/drawing/2014/main" id="{A4AA5E6B-6017-BAFA-365C-AF08C865C58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8811478" y="2094140"/>
          <a:ext cx="5466426" cy="2227829"/>
        </a:xfrm>
        <a:prstGeom prst="rect">
          <a:avLst/>
        </a:prstGeom>
        <a:solidFill>
          <a:srgbClr val="0070C0"/>
        </a:solidFill>
        <a:ln w="127000" cap="sq">
          <a:solidFill>
            <a:srgbClr val="800000"/>
          </a:solidFill>
          <a:miter lim="800000"/>
        </a:ln>
        <a:effectLst>
          <a:glow rad="63500">
            <a:schemeClr val="accent2">
              <a:satMod val="175000"/>
              <a:alpha val="40000"/>
            </a:schemeClr>
          </a:glow>
          <a:outerShdw blurRad="76200" dist="12700" dir="2700000" sy="-23000" kx="-800400" algn="bl" rotWithShape="0">
            <a:prstClr val="black">
              <a:alpha val="20000"/>
            </a:prstClr>
          </a:outerShdw>
          <a:reflection blurRad="6350" stA="50000" endA="300" endPos="55000" dir="5400000" sy="-100000" algn="bl" rotWithShape="0"/>
          <a:softEdge rad="12700"/>
        </a:effectLst>
      </xdr:spPr>
    </xdr:pic>
    <xdr:clientData/>
  </xdr:twoCellAnchor>
  <xdr:twoCellAnchor>
    <xdr:from>
      <xdr:col>8</xdr:col>
      <xdr:colOff>583407</xdr:colOff>
      <xdr:row>9</xdr:row>
      <xdr:rowOff>178594</xdr:rowOff>
    </xdr:from>
    <xdr:to>
      <xdr:col>10</xdr:col>
      <xdr:colOff>1059657</xdr:colOff>
      <xdr:row>17</xdr:row>
      <xdr:rowOff>35719</xdr:rowOff>
    </xdr:to>
    <xdr:sp macro="" textlink="">
      <xdr:nvSpPr>
        <xdr:cNvPr id="13" name="TextBox 12">
          <a:extLst>
            <a:ext uri="{FF2B5EF4-FFF2-40B4-BE49-F238E27FC236}">
              <a16:creationId xmlns:a16="http://schemas.microsoft.com/office/drawing/2014/main" id="{9E15FB47-6A46-214D-A36D-8AE9BCE35FC5}"/>
            </a:ext>
          </a:extLst>
        </xdr:cNvPr>
        <xdr:cNvSpPr txBox="1"/>
      </xdr:nvSpPr>
      <xdr:spPr>
        <a:xfrm>
          <a:off x="5441157" y="1893094"/>
          <a:ext cx="1690688" cy="1381125"/>
        </a:xfrm>
        <a:prstGeom prst="rect">
          <a:avLst/>
        </a:prstGeom>
        <a:solidFill>
          <a:schemeClr val="tx1">
            <a:lumMod val="75000"/>
            <a:lumOff val="25000"/>
          </a:schemeClr>
        </a:solidFill>
        <a:ln w="9525" cmpd="sng">
          <a:solidFill>
            <a:schemeClr val="lt1">
              <a:shade val="50000"/>
            </a:schemeClr>
          </a:solidFill>
        </a:ln>
        <a:effectLst>
          <a:reflection blurRad="6350" stA="52000" endA="300" endPos="350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u="sng">
              <a:solidFill>
                <a:schemeClr val="bg1"/>
              </a:solidFill>
            </a:rPr>
            <a:t>Total Countries</a:t>
          </a:r>
          <a:br>
            <a:rPr lang="en-IN" sz="1800" b="1" u="sng">
              <a:solidFill>
                <a:schemeClr val="bg1"/>
              </a:solidFill>
            </a:rPr>
          </a:br>
          <a:r>
            <a:rPr lang="en-IN" sz="1800" b="1" u="sng">
              <a:solidFill>
                <a:schemeClr val="bg1"/>
              </a:solidFill>
            </a:rPr>
            <a:t>4</a:t>
          </a:r>
        </a:p>
      </xdr:txBody>
    </xdr:sp>
    <xdr:clientData/>
  </xdr:twoCellAnchor>
  <xdr:twoCellAnchor editAs="oneCell">
    <xdr:from>
      <xdr:col>0</xdr:col>
      <xdr:colOff>207169</xdr:colOff>
      <xdr:row>0</xdr:row>
      <xdr:rowOff>173830</xdr:rowOff>
    </xdr:from>
    <xdr:to>
      <xdr:col>3</xdr:col>
      <xdr:colOff>207170</xdr:colOff>
      <xdr:row>14</xdr:row>
      <xdr:rowOff>173830</xdr:rowOff>
    </xdr:to>
    <mc:AlternateContent xmlns:mc="http://schemas.openxmlformats.org/markup-compatibility/2006" xmlns:a14="http://schemas.microsoft.com/office/drawing/2010/main">
      <mc:Choice Requires="a14">
        <xdr:graphicFrame macro="">
          <xdr:nvGraphicFramePr>
            <xdr:cNvPr id="14" name="TITLE">
              <a:extLst>
                <a:ext uri="{FF2B5EF4-FFF2-40B4-BE49-F238E27FC236}">
                  <a16:creationId xmlns:a16="http://schemas.microsoft.com/office/drawing/2014/main" id="{83564CE4-F9E0-EA3A-DD4C-CB305A6899AD}"/>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207169" y="173830"/>
              <a:ext cx="1821657"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30957</xdr:colOff>
      <xdr:row>30</xdr:row>
      <xdr:rowOff>88107</xdr:rowOff>
    </xdr:from>
    <xdr:to>
      <xdr:col>7</xdr:col>
      <xdr:colOff>30957</xdr:colOff>
      <xdr:row>44</xdr:row>
      <xdr:rowOff>88107</xdr:rowOff>
    </xdr:to>
    <mc:AlternateContent xmlns:mc="http://schemas.openxmlformats.org/markup-compatibility/2006" xmlns:a14="http://schemas.microsoft.com/office/drawing/2010/main">
      <mc:Choice Requires="a14">
        <xdr:graphicFrame macro="">
          <xdr:nvGraphicFramePr>
            <xdr:cNvPr id="15" name="TYPE">
              <a:extLst>
                <a:ext uri="{FF2B5EF4-FFF2-40B4-BE49-F238E27FC236}">
                  <a16:creationId xmlns:a16="http://schemas.microsoft.com/office/drawing/2014/main" id="{FB08BD35-11F6-C268-FE4F-6400567F632C}"/>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2459832" y="5803107"/>
              <a:ext cx="1821656"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507207</xdr:colOff>
      <xdr:row>15</xdr:row>
      <xdr:rowOff>80962</xdr:rowOff>
    </xdr:from>
    <xdr:to>
      <xdr:col>6</xdr:col>
      <xdr:colOff>507207</xdr:colOff>
      <xdr:row>29</xdr:row>
      <xdr:rowOff>80962</xdr:rowOff>
    </xdr:to>
    <mc:AlternateContent xmlns:mc="http://schemas.openxmlformats.org/markup-compatibility/2006" xmlns:a14="http://schemas.microsoft.com/office/drawing/2010/main">
      <mc:Choice Requires="a14">
        <xdr:graphicFrame macro="">
          <xdr:nvGraphicFramePr>
            <xdr:cNvPr id="16" name="SEASONS">
              <a:extLst>
                <a:ext uri="{FF2B5EF4-FFF2-40B4-BE49-F238E27FC236}">
                  <a16:creationId xmlns:a16="http://schemas.microsoft.com/office/drawing/2014/main" id="{59EC1E0F-5683-2EA3-0855-98DBAC32D117}"/>
                </a:ext>
              </a:extLst>
            </xdr:cNvPr>
            <xdr:cNvGraphicFramePr/>
          </xdr:nvGraphicFramePr>
          <xdr:xfrm>
            <a:off x="0" y="0"/>
            <a:ext cx="0" cy="0"/>
          </xdr:xfrm>
          <a:graphic>
            <a:graphicData uri="http://schemas.microsoft.com/office/drawing/2010/slicer">
              <sle:slicer xmlns:sle="http://schemas.microsoft.com/office/drawing/2010/slicer" name="SEASONS"/>
            </a:graphicData>
          </a:graphic>
        </xdr:graphicFrame>
      </mc:Choice>
      <mc:Fallback xmlns="">
        <xdr:sp macro="" textlink="">
          <xdr:nvSpPr>
            <xdr:cNvPr id="0" name=""/>
            <xdr:cNvSpPr>
              <a:spLocks noTextEdit="1"/>
            </xdr:cNvSpPr>
          </xdr:nvSpPr>
          <xdr:spPr>
            <a:xfrm>
              <a:off x="2328863" y="2938462"/>
              <a:ext cx="1821657"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483395</xdr:colOff>
      <xdr:row>0</xdr:row>
      <xdr:rowOff>142871</xdr:rowOff>
    </xdr:from>
    <xdr:to>
      <xdr:col>6</xdr:col>
      <xdr:colOff>483394</xdr:colOff>
      <xdr:row>14</xdr:row>
      <xdr:rowOff>152398</xdr:rowOff>
    </xdr:to>
    <mc:AlternateContent xmlns:mc="http://schemas.openxmlformats.org/markup-compatibility/2006" xmlns:a14="http://schemas.microsoft.com/office/drawing/2010/main">
      <mc:Choice Requires="a14">
        <xdr:graphicFrame macro="">
          <xdr:nvGraphicFramePr>
            <xdr:cNvPr id="17" name="RELESE_YEAR">
              <a:extLst>
                <a:ext uri="{FF2B5EF4-FFF2-40B4-BE49-F238E27FC236}">
                  <a16:creationId xmlns:a16="http://schemas.microsoft.com/office/drawing/2014/main" id="{C392B064-5641-A1FE-B2B7-DFF1CAB21A70}"/>
                </a:ext>
              </a:extLst>
            </xdr:cNvPr>
            <xdr:cNvGraphicFramePr/>
          </xdr:nvGraphicFramePr>
          <xdr:xfrm>
            <a:off x="0" y="0"/>
            <a:ext cx="0" cy="0"/>
          </xdr:xfrm>
          <a:graphic>
            <a:graphicData uri="http://schemas.microsoft.com/office/drawing/2010/slicer">
              <sle:slicer xmlns:sle="http://schemas.microsoft.com/office/drawing/2010/slicer" name="RELESE_YEAR"/>
            </a:graphicData>
          </a:graphic>
        </xdr:graphicFrame>
      </mc:Choice>
      <mc:Fallback xmlns="">
        <xdr:sp macro="" textlink="">
          <xdr:nvSpPr>
            <xdr:cNvPr id="0" name=""/>
            <xdr:cNvSpPr>
              <a:spLocks noTextEdit="1"/>
            </xdr:cNvSpPr>
          </xdr:nvSpPr>
          <xdr:spPr>
            <a:xfrm>
              <a:off x="2305051" y="142871"/>
              <a:ext cx="1821656" cy="26765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166688</xdr:colOff>
      <xdr:row>30</xdr:row>
      <xdr:rowOff>71438</xdr:rowOff>
    </xdr:from>
    <xdr:to>
      <xdr:col>3</xdr:col>
      <xdr:colOff>166688</xdr:colOff>
      <xdr:row>44</xdr:row>
      <xdr:rowOff>71438</xdr:rowOff>
    </xdr:to>
    <mc:AlternateContent xmlns:mc="http://schemas.openxmlformats.org/markup-compatibility/2006" xmlns:a14="http://schemas.microsoft.com/office/drawing/2010/main">
      <mc:Choice Requires="a14">
        <xdr:graphicFrame macro="">
          <xdr:nvGraphicFramePr>
            <xdr:cNvPr id="18" name="GENRE">
              <a:extLst>
                <a:ext uri="{FF2B5EF4-FFF2-40B4-BE49-F238E27FC236}">
                  <a16:creationId xmlns:a16="http://schemas.microsoft.com/office/drawing/2014/main" id="{7FCE07B0-9077-6569-D501-3AE25D3413DE}"/>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166688" y="5786438"/>
              <a:ext cx="1821656"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192881</xdr:colOff>
      <xdr:row>15</xdr:row>
      <xdr:rowOff>109537</xdr:rowOff>
    </xdr:from>
    <xdr:to>
      <xdr:col>3</xdr:col>
      <xdr:colOff>272143</xdr:colOff>
      <xdr:row>29</xdr:row>
      <xdr:rowOff>95250</xdr:rowOff>
    </xdr:to>
    <mc:AlternateContent xmlns:mc="http://schemas.openxmlformats.org/markup-compatibility/2006" xmlns:a14="http://schemas.microsoft.com/office/drawing/2010/main">
      <mc:Choice Requires="a14">
        <xdr:graphicFrame macro="">
          <xdr:nvGraphicFramePr>
            <xdr:cNvPr id="19" name="MOVIE OR TV SERIES">
              <a:extLst>
                <a:ext uri="{FF2B5EF4-FFF2-40B4-BE49-F238E27FC236}">
                  <a16:creationId xmlns:a16="http://schemas.microsoft.com/office/drawing/2014/main" id="{FFB57E18-FAC4-4645-4C78-625A1D22A56B}"/>
                </a:ext>
              </a:extLst>
            </xdr:cNvPr>
            <xdr:cNvGraphicFramePr/>
          </xdr:nvGraphicFramePr>
          <xdr:xfrm>
            <a:off x="0" y="0"/>
            <a:ext cx="0" cy="0"/>
          </xdr:xfrm>
          <a:graphic>
            <a:graphicData uri="http://schemas.microsoft.com/office/drawing/2010/slicer">
              <sle:slicer xmlns:sle="http://schemas.microsoft.com/office/drawing/2010/slicer" name="MOVIE OR TV SERIES"/>
            </a:graphicData>
          </a:graphic>
        </xdr:graphicFrame>
      </mc:Choice>
      <mc:Fallback xmlns="">
        <xdr:sp macro="" textlink="">
          <xdr:nvSpPr>
            <xdr:cNvPr id="0" name=""/>
            <xdr:cNvSpPr>
              <a:spLocks noTextEdit="1"/>
            </xdr:cNvSpPr>
          </xdr:nvSpPr>
          <xdr:spPr>
            <a:xfrm>
              <a:off x="192881" y="2967037"/>
              <a:ext cx="1900918" cy="26527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122464</xdr:colOff>
      <xdr:row>0</xdr:row>
      <xdr:rowOff>178593</xdr:rowOff>
    </xdr:from>
    <xdr:to>
      <xdr:col>16</xdr:col>
      <xdr:colOff>511969</xdr:colOff>
      <xdr:row>8</xdr:row>
      <xdr:rowOff>136071</xdr:rowOff>
    </xdr:to>
    <xdr:sp macro="" textlink="">
      <xdr:nvSpPr>
        <xdr:cNvPr id="20" name="TextBox 19">
          <a:extLst>
            <a:ext uri="{FF2B5EF4-FFF2-40B4-BE49-F238E27FC236}">
              <a16:creationId xmlns:a16="http://schemas.microsoft.com/office/drawing/2014/main" id="{F75DDBC7-DE66-78E4-7B1D-EA841230F978}"/>
            </a:ext>
          </a:extLst>
        </xdr:cNvPr>
        <xdr:cNvSpPr txBox="1"/>
      </xdr:nvSpPr>
      <xdr:spPr>
        <a:xfrm>
          <a:off x="9130393" y="178593"/>
          <a:ext cx="4526076" cy="1481478"/>
        </a:xfrm>
        <a:prstGeom prst="rect">
          <a:avLst/>
        </a:prstGeom>
        <a:ln w="127000" cap="sq">
          <a:solidFill>
            <a:srgbClr val="800000"/>
          </a:solidFill>
          <a:miter lim="800000"/>
        </a:ln>
        <a:effectLst>
          <a:glow rad="63500">
            <a:schemeClr val="accent2">
              <a:satMod val="175000"/>
              <a:alpha val="40000"/>
            </a:schemeClr>
          </a:glow>
          <a:outerShdw blurRad="76200" dist="12700" dir="2700000" sy="-23000" kx="-800400" algn="bl" rotWithShape="0">
            <a:prstClr val="black">
              <a:alpha val="20000"/>
            </a:prstClr>
          </a:outerShdw>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bg1"/>
              </a:solidFill>
            </a:rPr>
            <a:t>PERSONAL</a:t>
          </a:r>
          <a:r>
            <a:rPr lang="en-IN" sz="2800" b="1" baseline="0">
              <a:solidFill>
                <a:schemeClr val="bg1"/>
              </a:solidFill>
            </a:rPr>
            <a:t> NETFLIX DASHBOARD</a:t>
          </a:r>
          <a:endParaRPr lang="en-IN" sz="2800" b="1">
            <a:solidFill>
              <a:schemeClr val="bg1"/>
            </a:solidFill>
          </a:endParaRPr>
        </a:p>
      </xdr:txBody>
    </xdr:sp>
    <xdr:clientData/>
  </xdr:twoCellAnchor>
  <xdr:twoCellAnchor>
    <xdr:from>
      <xdr:col>21</xdr:col>
      <xdr:colOff>119063</xdr:colOff>
      <xdr:row>30</xdr:row>
      <xdr:rowOff>47626</xdr:rowOff>
    </xdr:from>
    <xdr:to>
      <xdr:col>28</xdr:col>
      <xdr:colOff>59532</xdr:colOff>
      <xdr:row>46</xdr:row>
      <xdr:rowOff>83344</xdr:rowOff>
    </xdr:to>
    <xdr:graphicFrame macro="">
      <xdr:nvGraphicFramePr>
        <xdr:cNvPr id="26" name="Chart 25">
          <a:extLst>
            <a:ext uri="{FF2B5EF4-FFF2-40B4-BE49-F238E27FC236}">
              <a16:creationId xmlns:a16="http://schemas.microsoft.com/office/drawing/2014/main" id="{B561FA21-625F-44B1-A627-34403DFB2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23812</xdr:colOff>
      <xdr:row>14</xdr:row>
      <xdr:rowOff>178594</xdr:rowOff>
    </xdr:from>
    <xdr:to>
      <xdr:col>28</xdr:col>
      <xdr:colOff>333375</xdr:colOff>
      <xdr:row>28</xdr:row>
      <xdr:rowOff>83344</xdr:rowOff>
    </xdr:to>
    <xdr:graphicFrame macro="">
      <xdr:nvGraphicFramePr>
        <xdr:cNvPr id="8" name="Chart 7">
          <a:extLst>
            <a:ext uri="{FF2B5EF4-FFF2-40B4-BE49-F238E27FC236}">
              <a16:creationId xmlns:a16="http://schemas.microsoft.com/office/drawing/2014/main" id="{70156FD6-21D5-4762-AEFC-DED173A70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523876</xdr:colOff>
      <xdr:row>1</xdr:row>
      <xdr:rowOff>35718</xdr:rowOff>
    </xdr:from>
    <xdr:to>
      <xdr:col>27</xdr:col>
      <xdr:colOff>488157</xdr:colOff>
      <xdr:row>14</xdr:row>
      <xdr:rowOff>71437</xdr:rowOff>
    </xdr:to>
    <xdr:graphicFrame macro="">
      <xdr:nvGraphicFramePr>
        <xdr:cNvPr id="11" name="Chart 10">
          <a:extLst>
            <a:ext uri="{FF2B5EF4-FFF2-40B4-BE49-F238E27FC236}">
              <a16:creationId xmlns:a16="http://schemas.microsoft.com/office/drawing/2014/main" id="{8FAF5644-D901-4A3F-AC14-855D751660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refreshedDate="45805.550038657406" createdVersion="8" refreshedVersion="8" minRefreshableVersion="3" recordCount="22" xr:uid="{785562D5-BB84-4DB8-8CAE-9847F757C274}">
  <cacheSource type="worksheet">
    <worksheetSource ref="A1:N1048576" sheet="netdata"/>
  </cacheSource>
  <cacheFields count="17">
    <cacheField name="TITLE" numFmtId="0">
      <sharedItems containsBlank="1" count="22">
        <s v="DEMON SLAYER"/>
        <s v="WHEN LIGE GIVES YOU TANGRIES"/>
        <s v="CHAVVA "/>
        <s v="COURT STATE VS NOBODY"/>
        <s v="DAAKU MAHARAJ"/>
        <s v="EMERGENCY"/>
        <s v="EXTERRITORIAL"/>
        <s v="JEWEL THEIF"/>
        <s v="MAD SQUARE"/>
        <s v="MONICA O MY DARLING"/>
        <s v="NADANIYAAN"/>
        <s v="THE DIPLOMAT"/>
        <s v="BIG BANG THEORY"/>
        <s v="BROOKLYN NINE-NINE"/>
        <s v="DABBA CARTEL"/>
        <s v="FRIENDS"/>
        <s v="STRANGER THINGS"/>
        <s v="SUITES"/>
        <s v="THE GOOD DOCTOR"/>
        <s v="YOUNG SHELDON"/>
        <s v="MAAMLA LEGAL HAI"/>
        <m/>
      </sharedItems>
    </cacheField>
    <cacheField name="TYPE" numFmtId="0">
      <sharedItems containsBlank="1" count="6">
        <s v="ANIME"/>
        <s v="KDRAMA SERIES"/>
        <s v="MOVIE"/>
        <s v="TV SERIES"/>
        <m/>
        <s v="TV SERIRES" u="1"/>
      </sharedItems>
    </cacheField>
    <cacheField name="SEASONS" numFmtId="0">
      <sharedItems containsString="0" containsBlank="1" containsNumber="1" containsInteger="1" minValue="0" maxValue="12" count="10">
        <n v="4"/>
        <n v="1"/>
        <n v="0"/>
        <n v="12"/>
        <n v="8"/>
        <n v="10"/>
        <n v="9"/>
        <n v="6"/>
        <n v="5"/>
        <m/>
      </sharedItems>
    </cacheField>
    <cacheField name="CREATOR" numFmtId="0">
      <sharedItems containsBlank="1"/>
    </cacheField>
    <cacheField name="COUNTRY" numFmtId="0">
      <sharedItems containsBlank="1" count="5">
        <s v="JAPAN"/>
        <s v="KOREA"/>
        <s v="INDIA"/>
        <s v="UNITED STATES"/>
        <m/>
      </sharedItems>
    </cacheField>
    <cacheField name="DATE_RELEASED" numFmtId="14">
      <sharedItems containsNonDate="0" containsDate="1" containsString="0" containsBlank="1" minDate="2016-04-01T00:00:00" maxDate="2025-05-01T00:00:00" count="18">
        <d v="2020-04-30T00:00:00"/>
        <d v="2025-03-07T00:00:00"/>
        <d v="2025-04-11T00:00:00"/>
        <d v="2025-02-21T00:00:00"/>
        <d v="2025-03-17T00:00:00"/>
        <d v="2025-04-30T00:00:00"/>
        <d v="2025-04-25T00:00:00"/>
        <d v="2022-11-11T00:00:00"/>
        <d v="2025-03-14T00:00:00"/>
        <d v="2018-01-01T00:00:00"/>
        <d v="2016-04-01T00:00:00"/>
        <d v="2025-02-28T00:00:00"/>
        <d v="2019-04-01T00:00:00"/>
        <d v="2016-07-15T00:00:00"/>
        <d v="2017-09-25T00:00:00"/>
        <d v="2023-11-24T00:00:00"/>
        <d v="2024-03-01T00:00:00"/>
        <m/>
      </sharedItems>
      <fieldGroup par="16"/>
    </cacheField>
    <cacheField name="RELESE_YEAR" numFmtId="0">
      <sharedItems containsString="0" containsBlank="1" containsNumber="1" containsInteger="1" minValue="1994" maxValue="2025" count="10">
        <n v="2020"/>
        <n v="2025"/>
        <n v="2022"/>
        <n v="2018"/>
        <n v="2016"/>
        <n v="1994"/>
        <n v="2019"/>
        <n v="2017"/>
        <n v="2024"/>
        <m/>
      </sharedItems>
    </cacheField>
    <cacheField name="RATING" numFmtId="0">
      <sharedItems containsBlank="1" count="4">
        <s v="U/A 16+"/>
        <s v="U/A13+"/>
        <s v="A"/>
        <m/>
      </sharedItems>
    </cacheField>
    <cacheField name="DURATION" numFmtId="0">
      <sharedItems containsBlank="1"/>
    </cacheField>
    <cacheField name="GENRE" numFmtId="0">
      <sharedItems containsBlank="1" count="21">
        <s v="SCI-FI,ACTION"/>
        <s v="ROMANTIC,DRAMA"/>
        <s v="BASED ON BOOKS,MILITATRY MOVIE"/>
        <s v="DRAMA,SOCIAL ISSUE"/>
        <s v="CRIME,ACTION"/>
        <s v="SOCIAL ISSU,BASED ON REAL LIFE"/>
        <s v="GERMAN,ACTION"/>
        <s v="COMEDY,ACTION"/>
        <s v="CRIME,COMEDY,DRAMA"/>
        <s v="COMEDY,ROMANCE,TEEN"/>
        <s v="DRAMAS ,SOCIAL ISSUE"/>
        <s v="COMEDY"/>
        <s v="SITCOMES,COMEDY,CRIMES"/>
        <s v="DRAMA,CRIME,THRILLER"/>
        <s v="SITCOMES,COMEDIES"/>
        <s v="DEAMA,SCI-FI,TEEN,HORROR"/>
        <s v="DRAMA,COURTROOM TV"/>
        <s v="MEDICAL TV,DRAMAS,SOCIAL ISSUE"/>
        <s v="FAMILY/COMED"/>
        <s v="DRAMA,COMEDY,COURTROOM TV"/>
        <m/>
      </sharedItems>
    </cacheField>
    <cacheField name="DISCRIPTION" numFmtId="0">
      <sharedItems containsBlank="1"/>
    </cacheField>
    <cacheField name="2020-04" numFmtId="0">
      <sharedItems containsBlank="1"/>
    </cacheField>
    <cacheField name="type2" numFmtId="0">
      <sharedItems containsBlank="1" count="3">
        <m/>
        <s v="movie"/>
        <s v="tv series"/>
      </sharedItems>
    </cacheField>
    <cacheField name="count" numFmtId="0">
      <sharedItems containsString="0" containsBlank="1" containsNumber="1" containsInteger="1" minValue="9" maxValue="10"/>
    </cacheField>
    <cacheField name="Months (DATE_RELEASED)" numFmtId="0" databaseField="0">
      <fieldGroup base="5">
        <rangePr groupBy="months" startDate="2016-04-01T00:00:00" endDate="2025-05-01T00:00:00"/>
        <groupItems count="14">
          <s v="&lt;01-04-2016"/>
          <s v="Jan"/>
          <s v="Feb"/>
          <s v="Mar"/>
          <s v="Apr"/>
          <s v="May"/>
          <s v="Jun"/>
          <s v="Jul"/>
          <s v="Aug"/>
          <s v="Sep"/>
          <s v="Oct"/>
          <s v="Nov"/>
          <s v="Dec"/>
          <s v="&gt;01-05-2025"/>
        </groupItems>
      </fieldGroup>
    </cacheField>
    <cacheField name="Quarters (DATE_RELEASED)" numFmtId="0" databaseField="0">
      <fieldGroup base="5">
        <rangePr groupBy="quarters" startDate="2016-04-01T00:00:00" endDate="2025-05-01T00:00:00"/>
        <groupItems count="6">
          <s v="&lt;01-04-2016"/>
          <s v="Qtr1"/>
          <s v="Qtr2"/>
          <s v="Qtr3"/>
          <s v="Qtr4"/>
          <s v="&gt;01-05-2025"/>
        </groupItems>
      </fieldGroup>
    </cacheField>
    <cacheField name="Years (DATE_RELEASED)" numFmtId="0" databaseField="0">
      <fieldGroup base="5">
        <rangePr groupBy="years" startDate="2016-04-01T00:00:00" endDate="2025-05-01T00:00:00"/>
        <groupItems count="12">
          <s v="&lt;01-04-2016"/>
          <s v="2016"/>
          <s v="2017"/>
          <s v="2018"/>
          <s v="2019"/>
          <s v="2020"/>
          <s v="2021"/>
          <s v="2022"/>
          <s v="2023"/>
          <s v="2024"/>
          <s v="2025"/>
          <s v="&gt;01-05-2025"/>
        </groupItems>
      </fieldGroup>
    </cacheField>
  </cacheFields>
  <extLst>
    <ext xmlns:x14="http://schemas.microsoft.com/office/spreadsheetml/2009/9/main" uri="{725AE2AE-9491-48be-B2B4-4EB974FC3084}">
      <x14:pivotCacheDefinition pivotCacheId="8040807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x v="0"/>
    <x v="0"/>
    <s v="Kimetsu no Yaiba"/>
    <x v="0"/>
    <x v="0"/>
    <x v="0"/>
    <x v="0"/>
    <s v="25M"/>
    <x v="0"/>
    <s v="After a demon attack leaves his family slain and his sister cursed, Tanjiro embarks upon a perilous journey to find a cure and avenge those he's lost."/>
    <s v="2025-03"/>
    <x v="0"/>
    <m/>
  </r>
  <r>
    <x v="1"/>
    <x v="1"/>
    <x v="1"/>
    <s v="KIM WON-SUK,LIM SANG-CHOON"/>
    <x v="1"/>
    <x v="1"/>
    <x v="1"/>
    <x v="1"/>
    <s v="60M"/>
    <x v="1"/>
    <s v="A heartfelt tale of Ae-sun and Gwan-sik's enduring love, set against the evolving backdrop of Jeju Island from the 1960s to present day."/>
    <s v="2025-04"/>
    <x v="0"/>
    <m/>
  </r>
  <r>
    <x v="2"/>
    <x v="2"/>
    <x v="2"/>
    <s v="LAXMAN UTEKAR"/>
    <x v="2"/>
    <x v="2"/>
    <x v="1"/>
    <x v="0"/>
    <s v="2H37M"/>
    <x v="2"/>
    <s v="Rebellion war and consipiracy collide as sambhaji maharaj lead the maratha empire into battele in this violent historical drama"/>
    <s v="2025-04"/>
    <x v="0"/>
    <m/>
  </r>
  <r>
    <x v="3"/>
    <x v="2"/>
    <x v="2"/>
    <s v="RAM JAGDEESH"/>
    <x v="2"/>
    <x v="2"/>
    <x v="1"/>
    <x v="1"/>
    <s v="2H39M"/>
    <x v="3"/>
    <s v="A driven attorney battles a corrupt justice system to defend a young man whose relationship with a 17 year old girl provokes her ruthless family ire."/>
    <s v="2025-02"/>
    <x v="0"/>
    <m/>
  </r>
  <r>
    <x v="4"/>
    <x v="2"/>
    <x v="2"/>
    <s v="K.S.RAVINDRA"/>
    <x v="2"/>
    <x v="3"/>
    <x v="1"/>
    <x v="0"/>
    <s v="2H23M"/>
    <x v="4"/>
    <s v="When poerful forces theraten a young girl,a feraless man with a criminal past steps in to protect her and the community from danger"/>
    <s v="2025-03"/>
    <x v="0"/>
    <m/>
  </r>
  <r>
    <x v="5"/>
    <x v="2"/>
    <x v="2"/>
    <s v="KANGANA RANIUT"/>
    <x v="2"/>
    <x v="4"/>
    <x v="1"/>
    <x v="2"/>
    <s v="2H24M"/>
    <x v="5"/>
    <s v="This political biopic charts the series and fall of indian prime minister indira gandhi during the tense and turbulent events of the emergrncy in 1975."/>
    <s v="2025-04"/>
    <x v="0"/>
    <m/>
  </r>
  <r>
    <x v="6"/>
    <x v="2"/>
    <x v="2"/>
    <s v="CHRISTIAN ZUBERT"/>
    <x v="3"/>
    <x v="5"/>
    <x v="1"/>
    <x v="0"/>
    <s v="1H49M"/>
    <x v="6"/>
    <s v="When her son vanishes Inside a us consulate,ex-special forces soldiea sara does everything in her power to find hime and undercovers a dark conspiracy."/>
    <s v="2025-04"/>
    <x v="0"/>
    <m/>
  </r>
  <r>
    <x v="7"/>
    <x v="2"/>
    <x v="2"/>
    <s v="KOOKIE GULATI,ROBBIE GREWEL"/>
    <x v="2"/>
    <x v="6"/>
    <x v="1"/>
    <x v="0"/>
    <s v="1H57M"/>
    <x v="4"/>
    <s v="A master thief dodges cops to steal one of the worlds diamonds when a pilitess criminal threaten his family.from siddharth anand."/>
    <s v="2025-04"/>
    <x v="0"/>
    <m/>
  </r>
  <r>
    <x v="8"/>
    <x v="2"/>
    <x v="2"/>
    <s v="KALYAN SHANKAR"/>
    <x v="2"/>
    <x v="6"/>
    <x v="1"/>
    <x v="0"/>
    <s v="2H24M"/>
    <x v="7"/>
    <s v="College friends manoj,ashok and damodar take laddu to goa after ruiniong his wedding,but soon land in much deeper trouble."/>
    <s v="2022-11"/>
    <x v="0"/>
    <m/>
  </r>
  <r>
    <x v="9"/>
    <x v="2"/>
    <x v="2"/>
    <s v="VASAN BALA"/>
    <x v="2"/>
    <x v="7"/>
    <x v="2"/>
    <x v="0"/>
    <s v="1H 39M"/>
    <x v="8"/>
    <s v="Dark comedy meets murder mayhem in this mystry-thriller starring rajkumar rao,huma queresi,radhika apte."/>
    <s v="2025-03"/>
    <x v="0"/>
    <m/>
  </r>
  <r>
    <x v="10"/>
    <x v="2"/>
    <x v="2"/>
    <s v="SHAUNA GAUTAM"/>
    <x v="2"/>
    <x v="1"/>
    <x v="1"/>
    <x v="1"/>
    <s v="1H59M"/>
    <x v="9"/>
    <s v="When affluent pia hires bariny teen arjun to be her fake boyfriend,life at their elite delhi school gets complicated."/>
    <s v="2025-03"/>
    <x v="0"/>
    <m/>
  </r>
  <r>
    <x v="11"/>
    <x v="2"/>
    <x v="2"/>
    <s v="SHIVAM NAIR"/>
    <x v="2"/>
    <x v="8"/>
    <x v="1"/>
    <x v="0"/>
    <s v="2H 12M"/>
    <x v="10"/>
    <s v="Two stories,two countries.one diplomat.when a women claims she was forced to marry in pakistan,one man navigates international tensions to help her."/>
    <s v="2018-01"/>
    <x v="0"/>
    <m/>
  </r>
  <r>
    <x v="12"/>
    <x v="3"/>
    <x v="3"/>
    <s v="CHUCK LORRY,BILL PRADY"/>
    <x v="3"/>
    <x v="9"/>
    <x v="3"/>
    <x v="0"/>
    <s v="25M"/>
    <x v="11"/>
    <s v="A sitcom about socially awkward physicists Leonard and Sheldon, whose lives change when Penny moves in next door."/>
    <s v="2016-04"/>
    <x v="1"/>
    <n v="10"/>
  </r>
  <r>
    <x v="13"/>
    <x v="3"/>
    <x v="4"/>
    <s v="DANIEL J.GOOR,MICHEAL SCHUR"/>
    <x v="3"/>
    <x v="10"/>
    <x v="4"/>
    <x v="0"/>
    <s v="20 MINUTES"/>
    <x v="12"/>
    <s v="A talented but carefree New York detective and his diverse team solve crimes while navigating quirky office dynamics in Brooklyn’s 99th precinct."/>
    <s v="2025-02"/>
    <x v="2"/>
    <n v="9"/>
  </r>
  <r>
    <x v="14"/>
    <x v="3"/>
    <x v="1"/>
    <s v="Hitesh Bhatia"/>
    <x v="2"/>
    <x v="11"/>
    <x v="1"/>
    <x v="0"/>
    <s v="25M"/>
    <x v="13"/>
    <s v="Five middle-class women in Mumbai transform their lunchbox delivery service into a front for a high-stakes drug operation, navigating crime, betrayal, and law enforcement."/>
    <s v="2019-04"/>
    <x v="0"/>
    <m/>
  </r>
  <r>
    <x v="15"/>
    <x v="3"/>
    <x v="5"/>
    <s v="DAVID CRANE,MARTA KAUFFMAN"/>
    <x v="3"/>
    <x v="12"/>
    <x v="5"/>
    <x v="0"/>
    <s v="25M"/>
    <x v="14"/>
    <s v="Six young adults living in New York City navigate love, work, and friendship as they deal with life’s ups and downs — always finding time for coffee and laughs at Central Perk."/>
    <s v="2016-07"/>
    <x v="0"/>
    <m/>
  </r>
  <r>
    <x v="16"/>
    <x v="3"/>
    <x v="0"/>
    <s v="THE DUFFER BROTHERS"/>
    <x v="3"/>
    <x v="13"/>
    <x v="4"/>
    <x v="0"/>
    <s v="50M"/>
    <x v="15"/>
    <s v="In 1980s Indiana, a group of young friends witness supernatural forces and secret government exploits as they search for their missing friend."/>
    <s v="2018-01"/>
    <x v="0"/>
    <m/>
  </r>
  <r>
    <x v="17"/>
    <x v="3"/>
    <x v="6"/>
    <s v="AaRON KORSH"/>
    <x v="3"/>
    <x v="9"/>
    <x v="6"/>
    <x v="0"/>
    <s v="50M"/>
    <x v="16"/>
    <s v="A college dropout with a sharp mind becomes a law associate, keeping his secret while handling high-profile cases."/>
    <s v="2017-09"/>
    <x v="0"/>
    <m/>
  </r>
  <r>
    <x v="18"/>
    <x v="3"/>
    <x v="7"/>
    <s v="DAVIS SHORE"/>
    <x v="3"/>
    <x v="14"/>
    <x v="7"/>
    <x v="0"/>
    <s v="45M"/>
    <x v="17"/>
    <s v="A young surgeon with autism and savant syndrome navigates the challenges of a prestigious hospital, proving his worth through exceptional medical skills."/>
    <s v="2023-11"/>
    <x v="0"/>
    <m/>
  </r>
  <r>
    <x v="19"/>
    <x v="3"/>
    <x v="8"/>
    <s v="CHUCK LORRY,STEVE MOLARO"/>
    <x v="3"/>
    <x v="15"/>
    <x v="1"/>
    <x v="1"/>
    <s v="20M"/>
    <x v="18"/>
    <s v="A child prodigy navigates high school and family life in East Texas during the late 1980s and early 1990s."/>
    <s v="2024-03"/>
    <x v="0"/>
    <m/>
  </r>
  <r>
    <x v="20"/>
    <x v="3"/>
    <x v="1"/>
    <s v="SAMEER SAXENA"/>
    <x v="2"/>
    <x v="16"/>
    <x v="8"/>
    <x v="1"/>
    <s v="40M"/>
    <x v="19"/>
    <s v="A courtroom comedy series set in the fictional Patparganj District Court, following eccentric lawyers handling bizarre cases with humor."/>
    <s v="1900-01"/>
    <x v="0"/>
    <m/>
  </r>
  <r>
    <x v="21"/>
    <x v="4"/>
    <x v="9"/>
    <m/>
    <x v="4"/>
    <x v="17"/>
    <x v="9"/>
    <x v="3"/>
    <m/>
    <x v="20"/>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E6BEA8-EB1E-45BC-9929-98CD71BCB11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26" firstHeaderRow="1" firstDataRow="1" firstDataCol="1"/>
  <pivotFields count="17">
    <pivotField axis="axisRow"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showAll="0">
      <items count="11">
        <item x="2"/>
        <item x="1"/>
        <item x="0"/>
        <item x="8"/>
        <item x="7"/>
        <item x="4"/>
        <item x="6"/>
        <item x="5"/>
        <item x="3"/>
        <item x="9"/>
        <item t="default"/>
      </items>
    </pivotField>
    <pivotField showAll="0"/>
    <pivotField showAll="0"/>
    <pivotField showAll="0">
      <items count="19">
        <item x="10"/>
        <item x="13"/>
        <item x="14"/>
        <item x="9"/>
        <item x="12"/>
        <item x="0"/>
        <item x="7"/>
        <item x="15"/>
        <item x="16"/>
        <item x="3"/>
        <item x="11"/>
        <item x="1"/>
        <item x="8"/>
        <item x="4"/>
        <item x="2"/>
        <item x="6"/>
        <item x="5"/>
        <item x="17"/>
        <item t="default"/>
      </items>
    </pivotField>
    <pivotField dataField="1" showAll="0">
      <items count="11">
        <item x="5"/>
        <item x="4"/>
        <item x="7"/>
        <item x="3"/>
        <item x="6"/>
        <item x="0"/>
        <item x="2"/>
        <item x="8"/>
        <item x="1"/>
        <item x="9"/>
        <item t="default"/>
      </items>
    </pivotField>
    <pivotField showAll="0"/>
    <pivotField showAll="0"/>
    <pivotField showAll="0">
      <items count="22">
        <item x="2"/>
        <item x="11"/>
        <item x="7"/>
        <item x="9"/>
        <item x="4"/>
        <item x="8"/>
        <item x="15"/>
        <item x="19"/>
        <item x="16"/>
        <item x="13"/>
        <item x="3"/>
        <item x="10"/>
        <item x="18"/>
        <item x="6"/>
        <item x="17"/>
        <item x="1"/>
        <item x="0"/>
        <item x="14"/>
        <item x="12"/>
        <item x="5"/>
        <item x="20"/>
        <item t="default"/>
      </items>
    </pivotField>
    <pivotField showAll="0"/>
    <pivotField showAll="0"/>
    <pivotField showAll="0">
      <items count="4">
        <item x="1"/>
        <item x="2"/>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0"/>
  </rowFields>
  <rowItems count="23">
    <i>
      <x/>
    </i>
    <i>
      <x v="1"/>
    </i>
    <i>
      <x v="2"/>
    </i>
    <i>
      <x v="3"/>
    </i>
    <i>
      <x v="4"/>
    </i>
    <i>
      <x v="5"/>
    </i>
    <i>
      <x v="6"/>
    </i>
    <i>
      <x v="7"/>
    </i>
    <i>
      <x v="8"/>
    </i>
    <i>
      <x v="9"/>
    </i>
    <i>
      <x v="10"/>
    </i>
    <i>
      <x v="11"/>
    </i>
    <i>
      <x v="12"/>
    </i>
    <i>
      <x v="13"/>
    </i>
    <i>
      <x v="14"/>
    </i>
    <i>
      <x v="15"/>
    </i>
    <i>
      <x v="16"/>
    </i>
    <i>
      <x v="17"/>
    </i>
    <i>
      <x v="18"/>
    </i>
    <i>
      <x v="19"/>
    </i>
    <i>
      <x v="20"/>
    </i>
    <i>
      <x v="21"/>
    </i>
    <i t="grand">
      <x/>
    </i>
  </rowItems>
  <colItems count="1">
    <i/>
  </colItems>
  <dataFields count="1">
    <dataField name="Sum of RELESE_YEAR" fld="6" baseField="0" baseItem="0"/>
  </dataFields>
  <chartFormats count="2">
    <chartFormat chart="5" format="5"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410B55-E244-4CB4-87D2-0850323ED39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pivotFields count="17">
    <pivotField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showAll="0">
      <items count="11">
        <item x="2"/>
        <item x="1"/>
        <item x="0"/>
        <item x="8"/>
        <item x="7"/>
        <item x="4"/>
        <item x="6"/>
        <item x="5"/>
        <item x="3"/>
        <item x="9"/>
        <item t="default"/>
      </items>
    </pivotField>
    <pivotField showAll="0"/>
    <pivotField showAll="0"/>
    <pivotField showAll="0">
      <items count="19">
        <item x="10"/>
        <item x="13"/>
        <item x="14"/>
        <item x="9"/>
        <item x="12"/>
        <item x="0"/>
        <item x="7"/>
        <item x="15"/>
        <item x="16"/>
        <item x="3"/>
        <item x="11"/>
        <item x="1"/>
        <item x="8"/>
        <item x="4"/>
        <item x="2"/>
        <item x="6"/>
        <item x="5"/>
        <item x="17"/>
        <item t="default"/>
      </items>
    </pivotField>
    <pivotField showAll="0">
      <items count="11">
        <item x="5"/>
        <item x="4"/>
        <item x="7"/>
        <item x="3"/>
        <item x="6"/>
        <item x="0"/>
        <item x="2"/>
        <item x="8"/>
        <item x="1"/>
        <item x="9"/>
        <item t="default"/>
      </items>
    </pivotField>
    <pivotField showAll="0"/>
    <pivotField showAll="0"/>
    <pivotField showAll="0">
      <items count="22">
        <item x="2"/>
        <item x="11"/>
        <item x="7"/>
        <item x="9"/>
        <item x="4"/>
        <item x="8"/>
        <item x="15"/>
        <item x="19"/>
        <item x="16"/>
        <item x="13"/>
        <item x="3"/>
        <item x="10"/>
        <item x="18"/>
        <item x="6"/>
        <item x="17"/>
        <item x="1"/>
        <item x="0"/>
        <item x="14"/>
        <item x="12"/>
        <item x="5"/>
        <item x="20"/>
        <item t="default"/>
      </items>
    </pivotField>
    <pivotField showAll="0"/>
    <pivotField showAll="0"/>
    <pivotField axis="axisRow" showAll="0">
      <items count="4">
        <item x="1"/>
        <item x="2"/>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12"/>
  </rowFields>
  <rowItems count="4">
    <i>
      <x/>
    </i>
    <i>
      <x v="1"/>
    </i>
    <i>
      <x v="2"/>
    </i>
    <i t="grand">
      <x/>
    </i>
  </rowItems>
  <colItems count="1">
    <i/>
  </colItems>
  <dataFields count="1">
    <dataField name="Sum of count" fld="13" baseField="0" baseItem="0"/>
  </dataFields>
  <chartFormats count="14">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2" count="1" selected="0">
            <x v="0"/>
          </reference>
        </references>
      </pivotArea>
    </chartFormat>
    <chartFormat chart="3" format="7">
      <pivotArea type="data" outline="0" fieldPosition="0">
        <references count="2">
          <reference field="4294967294" count="1" selected="0">
            <x v="0"/>
          </reference>
          <reference field="12" count="1" selected="0">
            <x v="1"/>
          </reference>
        </references>
      </pivotArea>
    </chartFormat>
    <chartFormat chart="3" format="8">
      <pivotArea type="data" outline="0" fieldPosition="0">
        <references count="2">
          <reference field="4294967294" count="1" selected="0">
            <x v="0"/>
          </reference>
          <reference field="12" count="1" selected="0">
            <x v="2"/>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2" count="1" selected="0">
            <x v="0"/>
          </reference>
        </references>
      </pivotArea>
    </chartFormat>
    <chartFormat chart="5" format="6">
      <pivotArea type="data" outline="0" fieldPosition="0">
        <references count="2">
          <reference field="4294967294" count="1" selected="0">
            <x v="0"/>
          </reference>
          <reference field="12"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2" count="1" selected="0">
            <x v="0"/>
          </reference>
        </references>
      </pivotArea>
    </chartFormat>
    <chartFormat chart="7" format="9">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B533A9-DA37-437D-883A-C3697B01343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5" firstHeaderRow="1" firstDataRow="1" firstDataCol="1"/>
  <pivotFields count="17">
    <pivotField dataField="1"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showAll="0">
      <items count="11">
        <item x="2"/>
        <item x="1"/>
        <item x="0"/>
        <item x="8"/>
        <item x="7"/>
        <item x="4"/>
        <item x="6"/>
        <item x="5"/>
        <item x="3"/>
        <item x="9"/>
        <item t="default"/>
      </items>
    </pivotField>
    <pivotField showAll="0"/>
    <pivotField showAll="0"/>
    <pivotField showAll="0">
      <items count="19">
        <item x="10"/>
        <item x="13"/>
        <item x="14"/>
        <item x="9"/>
        <item x="12"/>
        <item x="0"/>
        <item x="7"/>
        <item x="15"/>
        <item x="16"/>
        <item x="3"/>
        <item x="11"/>
        <item x="1"/>
        <item x="8"/>
        <item x="4"/>
        <item x="2"/>
        <item x="6"/>
        <item x="5"/>
        <item x="17"/>
        <item t="default"/>
      </items>
    </pivotField>
    <pivotField showAll="0">
      <items count="11">
        <item x="5"/>
        <item x="4"/>
        <item x="7"/>
        <item x="3"/>
        <item x="6"/>
        <item x="0"/>
        <item x="2"/>
        <item x="8"/>
        <item x="1"/>
        <item x="9"/>
        <item t="default"/>
      </items>
    </pivotField>
    <pivotField showAll="0"/>
    <pivotField showAll="0"/>
    <pivotField axis="axisRow" showAll="0" sortType="ascending">
      <items count="22">
        <item x="2"/>
        <item x="11"/>
        <item x="7"/>
        <item x="9"/>
        <item x="4"/>
        <item x="8"/>
        <item x="15"/>
        <item x="19"/>
        <item x="16"/>
        <item x="13"/>
        <item x="3"/>
        <item x="10"/>
        <item x="18"/>
        <item x="6"/>
        <item x="17"/>
        <item x="1"/>
        <item x="0"/>
        <item x="14"/>
        <item x="12"/>
        <item x="5"/>
        <item x="20"/>
        <item t="default"/>
      </items>
    </pivotField>
    <pivotField showAll="0"/>
    <pivotField showAll="0"/>
    <pivotField showAll="0">
      <items count="4">
        <item x="1"/>
        <item x="2"/>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9"/>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TITLE" fld="0" subtotal="count" baseField="0" baseItem="0"/>
  </dataField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 chart="0" format="4">
      <pivotArea type="data" outline="0" fieldPosition="0">
        <references count="2">
          <reference field="4294967294" count="1" selected="0">
            <x v="0"/>
          </reference>
          <reference field="9" count="1" selected="0">
            <x v="3"/>
          </reference>
        </references>
      </pivotArea>
    </chartFormat>
    <chartFormat chart="0" format="5">
      <pivotArea type="data" outline="0" fieldPosition="0">
        <references count="2">
          <reference field="4294967294" count="1" selected="0">
            <x v="0"/>
          </reference>
          <reference field="9" count="1" selected="0">
            <x v="4"/>
          </reference>
        </references>
      </pivotArea>
    </chartFormat>
    <chartFormat chart="0" format="6">
      <pivotArea type="data" outline="0" fieldPosition="0">
        <references count="2">
          <reference field="4294967294" count="1" selected="0">
            <x v="0"/>
          </reference>
          <reference field="9" count="1" selected="0">
            <x v="5"/>
          </reference>
        </references>
      </pivotArea>
    </chartFormat>
    <chartFormat chart="0" format="7">
      <pivotArea type="data" outline="0" fieldPosition="0">
        <references count="2">
          <reference field="4294967294" count="1" selected="0">
            <x v="0"/>
          </reference>
          <reference field="9" count="1" selected="0">
            <x v="6"/>
          </reference>
        </references>
      </pivotArea>
    </chartFormat>
    <chartFormat chart="0" format="8">
      <pivotArea type="data" outline="0" fieldPosition="0">
        <references count="2">
          <reference field="4294967294" count="1" selected="0">
            <x v="0"/>
          </reference>
          <reference field="9" count="1" selected="0">
            <x v="7"/>
          </reference>
        </references>
      </pivotArea>
    </chartFormat>
    <chartFormat chart="0" format="9">
      <pivotArea type="data" outline="0" fieldPosition="0">
        <references count="2">
          <reference field="4294967294" count="1" selected="0">
            <x v="0"/>
          </reference>
          <reference field="9" count="1" selected="0">
            <x v="8"/>
          </reference>
        </references>
      </pivotArea>
    </chartFormat>
    <chartFormat chart="0" format="10">
      <pivotArea type="data" outline="0" fieldPosition="0">
        <references count="2">
          <reference field="4294967294" count="1" selected="0">
            <x v="0"/>
          </reference>
          <reference field="9" count="1" selected="0">
            <x v="9"/>
          </reference>
        </references>
      </pivotArea>
    </chartFormat>
    <chartFormat chart="0" format="11">
      <pivotArea type="data" outline="0" fieldPosition="0">
        <references count="2">
          <reference field="4294967294" count="1" selected="0">
            <x v="0"/>
          </reference>
          <reference field="9" count="1" selected="0">
            <x v="10"/>
          </reference>
        </references>
      </pivotArea>
    </chartFormat>
    <chartFormat chart="0" format="12">
      <pivotArea type="data" outline="0" fieldPosition="0">
        <references count="2">
          <reference field="4294967294" count="1" selected="0">
            <x v="0"/>
          </reference>
          <reference field="9" count="1" selected="0">
            <x v="11"/>
          </reference>
        </references>
      </pivotArea>
    </chartFormat>
    <chartFormat chart="0" format="13">
      <pivotArea type="data" outline="0" fieldPosition="0">
        <references count="2">
          <reference field="4294967294" count="1" selected="0">
            <x v="0"/>
          </reference>
          <reference field="9" count="1" selected="0">
            <x v="12"/>
          </reference>
        </references>
      </pivotArea>
    </chartFormat>
    <chartFormat chart="0" format="14">
      <pivotArea type="data" outline="0" fieldPosition="0">
        <references count="2">
          <reference field="4294967294" count="1" selected="0">
            <x v="0"/>
          </reference>
          <reference field="9" count="1" selected="0">
            <x v="13"/>
          </reference>
        </references>
      </pivotArea>
    </chartFormat>
    <chartFormat chart="0" format="15">
      <pivotArea type="data" outline="0" fieldPosition="0">
        <references count="2">
          <reference field="4294967294" count="1" selected="0">
            <x v="0"/>
          </reference>
          <reference field="9" count="1" selected="0">
            <x v="14"/>
          </reference>
        </references>
      </pivotArea>
    </chartFormat>
    <chartFormat chart="0" format="16">
      <pivotArea type="data" outline="0" fieldPosition="0">
        <references count="2">
          <reference field="4294967294" count="1" selected="0">
            <x v="0"/>
          </reference>
          <reference field="9" count="1" selected="0">
            <x v="15"/>
          </reference>
        </references>
      </pivotArea>
    </chartFormat>
    <chartFormat chart="0" format="17">
      <pivotArea type="data" outline="0" fieldPosition="0">
        <references count="2">
          <reference field="4294967294" count="1" selected="0">
            <x v="0"/>
          </reference>
          <reference field="9" count="1" selected="0">
            <x v="16"/>
          </reference>
        </references>
      </pivotArea>
    </chartFormat>
    <chartFormat chart="0" format="18">
      <pivotArea type="data" outline="0" fieldPosition="0">
        <references count="2">
          <reference field="4294967294" count="1" selected="0">
            <x v="0"/>
          </reference>
          <reference field="9" count="1" selected="0">
            <x v="17"/>
          </reference>
        </references>
      </pivotArea>
    </chartFormat>
    <chartFormat chart="0" format="19">
      <pivotArea type="data" outline="0" fieldPosition="0">
        <references count="2">
          <reference field="4294967294" count="1" selected="0">
            <x v="0"/>
          </reference>
          <reference field="9" count="1" selected="0">
            <x v="18"/>
          </reference>
        </references>
      </pivotArea>
    </chartFormat>
    <chartFormat chart="0" format="20">
      <pivotArea type="data" outline="0" fieldPosition="0">
        <references count="2">
          <reference field="4294967294" count="1" selected="0">
            <x v="0"/>
          </reference>
          <reference field="9" count="1" selected="0">
            <x v="19"/>
          </reference>
        </references>
      </pivotArea>
    </chartFormat>
    <chartFormat chart="0" format="21">
      <pivotArea type="data" outline="0" fieldPosition="0">
        <references count="2">
          <reference field="4294967294" count="1" selected="0">
            <x v="0"/>
          </reference>
          <reference field="9"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8F0475-91DF-4C4F-98DA-6B41863DCA99}"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26" firstHeaderRow="1" firstDataRow="1" firstDataCol="1"/>
  <pivotFields count="17">
    <pivotField axis="axisRow"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dataField="1" showAll="0">
      <items count="11">
        <item x="2"/>
        <item x="1"/>
        <item x="0"/>
        <item x="8"/>
        <item x="7"/>
        <item x="4"/>
        <item x="6"/>
        <item x="5"/>
        <item x="3"/>
        <item x="9"/>
        <item t="default"/>
      </items>
    </pivotField>
    <pivotField showAll="0"/>
    <pivotField showAll="0"/>
    <pivotField showAll="0">
      <items count="19">
        <item x="10"/>
        <item x="13"/>
        <item x="14"/>
        <item x="9"/>
        <item x="12"/>
        <item x="0"/>
        <item x="7"/>
        <item x="15"/>
        <item x="16"/>
        <item x="3"/>
        <item x="11"/>
        <item x="1"/>
        <item x="8"/>
        <item x="4"/>
        <item x="2"/>
        <item x="6"/>
        <item x="5"/>
        <item x="17"/>
        <item t="default"/>
      </items>
    </pivotField>
    <pivotField showAll="0">
      <items count="11">
        <item x="5"/>
        <item x="4"/>
        <item x="7"/>
        <item x="3"/>
        <item x="6"/>
        <item x="0"/>
        <item x="2"/>
        <item x="8"/>
        <item x="1"/>
        <item x="9"/>
        <item t="default"/>
      </items>
    </pivotField>
    <pivotField showAll="0"/>
    <pivotField showAll="0"/>
    <pivotField showAll="0">
      <items count="22">
        <item x="2"/>
        <item x="11"/>
        <item x="7"/>
        <item x="9"/>
        <item x="4"/>
        <item x="8"/>
        <item x="15"/>
        <item x="19"/>
        <item x="16"/>
        <item x="13"/>
        <item x="3"/>
        <item x="10"/>
        <item x="18"/>
        <item x="6"/>
        <item x="17"/>
        <item x="1"/>
        <item x="0"/>
        <item x="14"/>
        <item x="12"/>
        <item x="5"/>
        <item x="20"/>
        <item t="default"/>
      </items>
    </pivotField>
    <pivotField showAll="0"/>
    <pivotField showAll="0"/>
    <pivotField showAll="0">
      <items count="4">
        <item x="1"/>
        <item x="2"/>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0"/>
  </rowFields>
  <rowItems count="23">
    <i>
      <x/>
    </i>
    <i>
      <x v="1"/>
    </i>
    <i>
      <x v="2"/>
    </i>
    <i>
      <x v="3"/>
    </i>
    <i>
      <x v="4"/>
    </i>
    <i>
      <x v="5"/>
    </i>
    <i>
      <x v="6"/>
    </i>
    <i>
      <x v="7"/>
    </i>
    <i>
      <x v="8"/>
    </i>
    <i>
      <x v="9"/>
    </i>
    <i>
      <x v="10"/>
    </i>
    <i>
      <x v="11"/>
    </i>
    <i>
      <x v="12"/>
    </i>
    <i>
      <x v="13"/>
    </i>
    <i>
      <x v="14"/>
    </i>
    <i>
      <x v="15"/>
    </i>
    <i>
      <x v="16"/>
    </i>
    <i>
      <x v="17"/>
    </i>
    <i>
      <x v="18"/>
    </i>
    <i>
      <x v="19"/>
    </i>
    <i>
      <x v="20"/>
    </i>
    <i>
      <x v="21"/>
    </i>
    <i t="grand">
      <x/>
    </i>
  </rowItems>
  <colItems count="1">
    <i/>
  </colItems>
  <dataFields count="1">
    <dataField name="Sum of SEASONS" fld="2"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7EA727-015F-4807-A4E6-6B2E3289634E}"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8" firstHeaderRow="1" firstDataRow="1" firstDataCol="1"/>
  <pivotFields count="17">
    <pivotField dataField="1"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showAll="0">
      <items count="11">
        <item x="2"/>
        <item x="1"/>
        <item x="0"/>
        <item x="8"/>
        <item x="7"/>
        <item x="4"/>
        <item x="6"/>
        <item x="5"/>
        <item x="3"/>
        <item x="9"/>
        <item t="default"/>
      </items>
    </pivotField>
    <pivotField showAll="0"/>
    <pivotField axis="axisRow" showAll="0">
      <items count="6">
        <item x="2"/>
        <item x="0"/>
        <item x="1"/>
        <item x="3"/>
        <item h="1" x="4"/>
        <item t="default"/>
      </items>
    </pivotField>
    <pivotField showAll="0">
      <items count="19">
        <item x="10"/>
        <item x="13"/>
        <item x="14"/>
        <item x="9"/>
        <item x="12"/>
        <item x="0"/>
        <item x="7"/>
        <item x="15"/>
        <item x="16"/>
        <item x="3"/>
        <item x="11"/>
        <item x="1"/>
        <item x="8"/>
        <item x="4"/>
        <item x="2"/>
        <item x="6"/>
        <item x="5"/>
        <item x="17"/>
        <item t="default"/>
      </items>
    </pivotField>
    <pivotField showAll="0">
      <items count="11">
        <item x="5"/>
        <item x="4"/>
        <item x="7"/>
        <item x="3"/>
        <item x="6"/>
        <item x="0"/>
        <item x="2"/>
        <item x="8"/>
        <item x="1"/>
        <item x="9"/>
        <item t="default"/>
      </items>
    </pivotField>
    <pivotField showAll="0"/>
    <pivotField showAll="0"/>
    <pivotField showAll="0">
      <items count="22">
        <item x="2"/>
        <item x="11"/>
        <item x="7"/>
        <item x="9"/>
        <item x="4"/>
        <item x="8"/>
        <item x="15"/>
        <item x="19"/>
        <item x="16"/>
        <item x="13"/>
        <item x="3"/>
        <item x="10"/>
        <item x="18"/>
        <item x="6"/>
        <item x="17"/>
        <item x="1"/>
        <item x="0"/>
        <item x="14"/>
        <item x="12"/>
        <item x="5"/>
        <item x="20"/>
        <item t="default"/>
      </items>
    </pivotField>
    <pivotField showAll="0"/>
    <pivotField showAll="0"/>
    <pivotField showAll="0">
      <items count="4">
        <item x="1"/>
        <item x="2"/>
        <item x="0"/>
        <item t="default"/>
      </items>
    </pivotField>
    <pivotField showAll="0"/>
    <pivotField showAll="0" defaultSubtotal="0"/>
    <pivotField showAll="0" defaultSubtotal="0"/>
    <pivotField showAll="0" defaultSubtotal="0">
      <items count="12">
        <item x="0"/>
        <item x="1"/>
        <item x="2"/>
        <item x="3"/>
        <item x="4"/>
        <item x="5"/>
        <item x="6"/>
        <item x="7"/>
        <item x="8"/>
        <item x="9"/>
        <item x="10"/>
        <item x="11"/>
      </items>
    </pivotField>
  </pivotFields>
  <rowFields count="1">
    <field x="4"/>
  </rowFields>
  <rowItems count="5">
    <i>
      <x/>
    </i>
    <i>
      <x v="1"/>
    </i>
    <i>
      <x v="2"/>
    </i>
    <i>
      <x v="3"/>
    </i>
    <i t="grand">
      <x/>
    </i>
  </rowItems>
  <colItems count="1">
    <i/>
  </colItems>
  <dataFields count="1">
    <dataField name="Count of TITLE" fld="0" subtotal="count" baseField="0" baseItem="0"/>
  </dataFields>
  <chartFormats count="13">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4" count="1" selected="0">
            <x v="0"/>
          </reference>
        </references>
      </pivotArea>
    </chartFormat>
    <chartFormat chart="3" format="8">
      <pivotArea type="data" outline="0" fieldPosition="0">
        <references count="2">
          <reference field="4294967294" count="1" selected="0">
            <x v="0"/>
          </reference>
          <reference field="4" count="1" selected="0">
            <x v="1"/>
          </reference>
        </references>
      </pivotArea>
    </chartFormat>
    <chartFormat chart="3" format="9">
      <pivotArea type="data" outline="0" fieldPosition="0">
        <references count="2">
          <reference field="4294967294" count="1" selected="0">
            <x v="0"/>
          </reference>
          <reference field="4" count="1" selected="0">
            <x v="2"/>
          </reference>
        </references>
      </pivotArea>
    </chartFormat>
    <chartFormat chart="3" format="10">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3" format="11">
      <pivotArea type="data" outline="0" fieldPosition="0">
        <references count="2">
          <reference field="4294967294" count="1" selected="0">
            <x v="0"/>
          </reference>
          <reference field="4" count="1" selected="0">
            <x v="4"/>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1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CAB5C25-DB35-4298-9ACE-F705C44B242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8" firstHeaderRow="1" firstDataRow="1" firstDataCol="1"/>
  <pivotFields count="17">
    <pivotField dataField="1" showAll="0">
      <items count="23">
        <item x="12"/>
        <item x="13"/>
        <item x="2"/>
        <item x="3"/>
        <item x="4"/>
        <item x="14"/>
        <item x="0"/>
        <item x="5"/>
        <item x="6"/>
        <item x="15"/>
        <item x="7"/>
        <item x="20"/>
        <item x="8"/>
        <item x="9"/>
        <item x="10"/>
        <item x="16"/>
        <item x="17"/>
        <item x="11"/>
        <item x="18"/>
        <item x="1"/>
        <item x="19"/>
        <item x="21"/>
        <item t="default"/>
      </items>
    </pivotField>
    <pivotField showAll="0">
      <items count="7">
        <item x="0"/>
        <item x="1"/>
        <item x="2"/>
        <item x="3"/>
        <item m="1" x="5"/>
        <item x="4"/>
        <item t="default"/>
      </items>
    </pivotField>
    <pivotField showAll="0">
      <items count="11">
        <item x="2"/>
        <item x="1"/>
        <item x="0"/>
        <item x="8"/>
        <item x="7"/>
        <item x="4"/>
        <item x="6"/>
        <item x="5"/>
        <item x="3"/>
        <item x="9"/>
        <item t="default"/>
      </items>
    </pivotField>
    <pivotField showAll="0"/>
    <pivotField showAll="0"/>
    <pivotField showAll="0">
      <items count="19">
        <item x="10"/>
        <item x="13"/>
        <item x="14"/>
        <item x="9"/>
        <item x="12"/>
        <item x="0"/>
        <item x="7"/>
        <item x="15"/>
        <item x="16"/>
        <item x="3"/>
        <item x="11"/>
        <item x="1"/>
        <item x="8"/>
        <item x="4"/>
        <item x="2"/>
        <item x="6"/>
        <item x="5"/>
        <item x="17"/>
        <item t="default"/>
      </items>
    </pivotField>
    <pivotField showAll="0">
      <items count="11">
        <item x="5"/>
        <item x="4"/>
        <item x="7"/>
        <item x="3"/>
        <item x="6"/>
        <item x="0"/>
        <item x="2"/>
        <item x="8"/>
        <item x="1"/>
        <item x="9"/>
        <item t="default"/>
      </items>
    </pivotField>
    <pivotField axis="axisRow" showAll="0">
      <items count="5">
        <item x="2"/>
        <item x="0"/>
        <item x="1"/>
        <item x="3"/>
        <item t="default"/>
      </items>
    </pivotField>
    <pivotField showAll="0"/>
    <pivotField showAll="0">
      <items count="22">
        <item x="2"/>
        <item x="11"/>
        <item x="7"/>
        <item x="9"/>
        <item x="4"/>
        <item x="8"/>
        <item x="15"/>
        <item x="19"/>
        <item x="16"/>
        <item x="13"/>
        <item x="3"/>
        <item x="10"/>
        <item x="18"/>
        <item x="6"/>
        <item x="17"/>
        <item x="1"/>
        <item x="0"/>
        <item x="14"/>
        <item x="12"/>
        <item x="5"/>
        <item x="20"/>
        <item t="default"/>
      </items>
    </pivotField>
    <pivotField showAll="0"/>
    <pivotField showAll="0"/>
    <pivotField showAll="0">
      <items count="4">
        <item x="1"/>
        <item x="2"/>
        <item x="0"/>
        <item t="default"/>
      </items>
    </pivotField>
    <pivotField showAll="0"/>
    <pivotField showAll="0" defaultSubtotal="0"/>
    <pivotField showAll="0" defaultSubtotal="0"/>
    <pivotField showAll="0" defaultSubtotal="0">
      <items count="12">
        <item x="0"/>
        <item x="1"/>
        <item x="2"/>
        <item x="3"/>
        <item x="4"/>
        <item x="5"/>
        <item x="6"/>
        <item x="7"/>
        <item x="8"/>
        <item x="9"/>
        <item x="10"/>
        <item x="11"/>
      </items>
    </pivotField>
  </pivotFields>
  <rowFields count="1">
    <field x="7"/>
  </rowFields>
  <rowItems count="5">
    <i>
      <x/>
    </i>
    <i>
      <x v="1"/>
    </i>
    <i>
      <x v="2"/>
    </i>
    <i>
      <x v="3"/>
    </i>
    <i t="grand">
      <x/>
    </i>
  </rowItems>
  <colItems count="1">
    <i/>
  </colItems>
  <dataFields count="1">
    <dataField name="Count of TITLE" fld="0" subtotal="count"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910BBDBB-A1F8-4B4E-83BB-873EDA2D151B}" sourceName="TITLE">
  <pivotTables>
    <pivotTable tabId="14" name="PivotTable1"/>
    <pivotTable tabId="15" name="PivotTable2"/>
    <pivotTable tabId="26" name="PivotTable10"/>
    <pivotTable tabId="16" name="PivotTable3"/>
    <pivotTable tabId="19" name="PivotTable6"/>
    <pivotTable tabId="30" name="PivotTable4"/>
  </pivotTables>
  <data>
    <tabular pivotCacheId="804080790">
      <items count="22">
        <i x="12" s="1"/>
        <i x="13" s="1"/>
        <i x="2" s="1"/>
        <i x="3" s="1"/>
        <i x="4" s="1"/>
        <i x="14" s="1"/>
        <i x="0" s="1"/>
        <i x="5" s="1"/>
        <i x="6" s="1"/>
        <i x="15" s="1"/>
        <i x="7" s="1"/>
        <i x="20" s="1"/>
        <i x="8" s="1"/>
        <i x="9" s="1"/>
        <i x="10" s="1"/>
        <i x="16" s="1"/>
        <i x="17" s="1"/>
        <i x="11" s="1"/>
        <i x="18" s="1"/>
        <i x="1" s="1"/>
        <i x="19" s="1"/>
        <i x="2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9007BAB1-0FC8-43D7-AB8A-89A781073934}" sourceName="TYPE">
  <pivotTables>
    <pivotTable tabId="14" name="PivotTable1"/>
    <pivotTable tabId="26" name="PivotTable10"/>
    <pivotTable tabId="15" name="PivotTable2"/>
    <pivotTable tabId="16" name="PivotTable3"/>
    <pivotTable tabId="19" name="PivotTable6"/>
    <pivotTable tabId="30" name="PivotTable4"/>
  </pivotTables>
  <data>
    <tabular pivotCacheId="804080790">
      <items count="6">
        <i x="0" s="1"/>
        <i x="1" s="1"/>
        <i x="2" s="1"/>
        <i x="3" s="1"/>
        <i x="5" s="1" nd="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S" xr10:uid="{DE2BE70C-19FB-4A3F-B5A1-2957D2B263B1}" sourceName="SEASONS">
  <pivotTables>
    <pivotTable tabId="19" name="PivotTable6"/>
    <pivotTable tabId="14" name="PivotTable1"/>
    <pivotTable tabId="15" name="PivotTable2"/>
    <pivotTable tabId="26" name="PivotTable10"/>
    <pivotTable tabId="16" name="PivotTable3"/>
    <pivotTable tabId="30" name="PivotTable4"/>
  </pivotTables>
  <data>
    <tabular pivotCacheId="804080790">
      <items count="10">
        <i x="2" s="1"/>
        <i x="1" s="1"/>
        <i x="0" s="1"/>
        <i x="8" s="1"/>
        <i x="7" s="1"/>
        <i x="4" s="1"/>
        <i x="6" s="1"/>
        <i x="5" s="1"/>
        <i x="3" s="1"/>
        <i x="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SE_YEAR" xr10:uid="{1C433AB3-6551-4341-91E8-A35DE3AAAC6E}" sourceName="RELESE_YEAR">
  <pivotTables>
    <pivotTable tabId="14" name="PivotTable1"/>
    <pivotTable tabId="15" name="PivotTable2"/>
    <pivotTable tabId="26" name="PivotTable10"/>
    <pivotTable tabId="16" name="PivotTable3"/>
    <pivotTable tabId="19" name="PivotTable6"/>
    <pivotTable tabId="30" name="PivotTable4"/>
  </pivotTables>
  <data>
    <tabular pivotCacheId="804080790">
      <items count="10">
        <i x="5" s="1"/>
        <i x="4" s="1"/>
        <i x="7" s="1"/>
        <i x="3" s="1"/>
        <i x="6" s="1"/>
        <i x="0" s="1"/>
        <i x="2" s="1"/>
        <i x="8" s="1"/>
        <i x="1" s="1"/>
        <i x="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BFD5A183-4A8E-4483-BC8E-B1344B82933C}" sourceName="GENRE">
  <pivotTables>
    <pivotTable tabId="14" name="PivotTable1"/>
    <pivotTable tabId="16" name="PivotTable3"/>
    <pivotTable tabId="15" name="PivotTable2"/>
    <pivotTable tabId="26" name="PivotTable10"/>
    <pivotTable tabId="19" name="PivotTable6"/>
    <pivotTable tabId="30" name="PivotTable4"/>
  </pivotTables>
  <data>
    <tabular pivotCacheId="804080790">
      <items count="21">
        <i x="2" s="1"/>
        <i x="11" s="1"/>
        <i x="7" s="1"/>
        <i x="9" s="1"/>
        <i x="4" s="1"/>
        <i x="8" s="1"/>
        <i x="15" s="1"/>
        <i x="19" s="1"/>
        <i x="16" s="1"/>
        <i x="13" s="1"/>
        <i x="3" s="1"/>
        <i x="10" s="1"/>
        <i x="18" s="1"/>
        <i x="6" s="1"/>
        <i x="17" s="1"/>
        <i x="1" s="1"/>
        <i x="0" s="1"/>
        <i x="14" s="1"/>
        <i x="12" s="1"/>
        <i x="5" s="1"/>
        <i x="2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561CAC5F-ECA4-4CD4-9603-382E8B1068AE}" sourceName="type2">
  <pivotTables>
    <pivotTable tabId="14" name="PivotTable1"/>
    <pivotTable tabId="15" name="PivotTable2"/>
    <pivotTable tabId="26" name="PivotTable10"/>
    <pivotTable tabId="16" name="PivotTable3"/>
    <pivotTable tabId="19" name="PivotTable6"/>
    <pivotTable tabId="30" name="PivotTable4"/>
  </pivotTables>
  <data>
    <tabular pivotCacheId="804080790">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xr10:uid="{DDDFC41D-52CC-4279-A717-B589816A92B4}" cache="Slicer_TITLE" caption="TITLE" style="SlicerStyleOther2" rowHeight="257175"/>
  <slicer name="TYPE" xr10:uid="{D332AF85-039B-4A6F-93FC-DF1694C9F8E9}" cache="Slicer_TYPE" caption="TYPE" style="SlicerStyleOther2" rowHeight="257175"/>
  <slicer name="SEASONS" xr10:uid="{558A6DD2-39CA-43DB-8987-5B5AD8EFE64C}" cache="Slicer_SEASONS" caption="SEASONS" style="SlicerStyleOther2" rowHeight="257175"/>
  <slicer name="RELESE_YEAR" xr10:uid="{C3A2A98D-8206-4A09-B2AB-4190A935B354}" cache="Slicer_RELESE_YEAR" caption="RELESE_YEAR" style="SlicerStyleOther2" rowHeight="257175"/>
  <slicer name="GENRE" xr10:uid="{C3552A41-66FA-401E-B1A8-023D244FEBAB}" cache="Slicer_GENRE" caption="GENRE" startItem="8" style="SlicerStyleOther2" rowHeight="257175"/>
  <slicer name="MOVIE OR TV SERIES" xr10:uid="{75F690AA-836C-46E3-B8D3-285B9B356080}" cache="Slicer_type2" caption="MOVIE OR TV SERIES" style="SlicerStyleOther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3B0E3-267F-493B-BC51-D9CACFC9A42C}">
  <sheetPr codeName="Sheet3">
    <tabColor theme="8" tint="0.59999389629810485"/>
  </sheetPr>
  <dimension ref="A3:B26"/>
  <sheetViews>
    <sheetView topLeftCell="B1" workbookViewId="0">
      <selection activeCell="M8" sqref="M8"/>
    </sheetView>
  </sheetViews>
  <sheetFormatPr defaultRowHeight="15" x14ac:dyDescent="0.25"/>
  <cols>
    <col min="1" max="1" width="29.85546875" bestFit="1" customWidth="1"/>
    <col min="2" max="2" width="20.42578125" bestFit="1" customWidth="1"/>
  </cols>
  <sheetData>
    <row r="3" spans="1:2" x14ac:dyDescent="0.25">
      <c r="A3" s="6" t="s">
        <v>127</v>
      </c>
      <c r="B3" t="s">
        <v>130</v>
      </c>
    </row>
    <row r="4" spans="1:2" x14ac:dyDescent="0.25">
      <c r="A4" s="7" t="s">
        <v>35</v>
      </c>
      <c r="B4" s="11">
        <v>2018</v>
      </c>
    </row>
    <row r="5" spans="1:2" x14ac:dyDescent="0.25">
      <c r="A5" s="7" t="s">
        <v>9</v>
      </c>
      <c r="B5" s="11">
        <v>2016</v>
      </c>
    </row>
    <row r="6" spans="1:2" x14ac:dyDescent="0.25">
      <c r="A6" s="7" t="s">
        <v>101</v>
      </c>
      <c r="B6" s="11">
        <v>2025</v>
      </c>
    </row>
    <row r="7" spans="1:2" x14ac:dyDescent="0.25">
      <c r="A7" s="7" t="s">
        <v>96</v>
      </c>
      <c r="B7" s="11">
        <v>2025</v>
      </c>
    </row>
    <row r="8" spans="1:2" x14ac:dyDescent="0.25">
      <c r="A8" s="7" t="s">
        <v>82</v>
      </c>
      <c r="B8" s="11">
        <v>2025</v>
      </c>
    </row>
    <row r="9" spans="1:2" x14ac:dyDescent="0.25">
      <c r="A9" s="7" t="s">
        <v>61</v>
      </c>
      <c r="B9" s="11">
        <v>2025</v>
      </c>
    </row>
    <row r="10" spans="1:2" x14ac:dyDescent="0.25">
      <c r="A10" s="7" t="s">
        <v>49</v>
      </c>
      <c r="B10" s="11">
        <v>2020</v>
      </c>
    </row>
    <row r="11" spans="1:2" x14ac:dyDescent="0.25">
      <c r="A11" s="7" t="s">
        <v>55</v>
      </c>
      <c r="B11" s="11">
        <v>2025</v>
      </c>
    </row>
    <row r="12" spans="1:2" x14ac:dyDescent="0.25">
      <c r="A12" s="7" t="s">
        <v>91</v>
      </c>
      <c r="B12" s="11">
        <v>2025</v>
      </c>
    </row>
    <row r="13" spans="1:2" x14ac:dyDescent="0.25">
      <c r="A13" s="7" t="s">
        <v>25</v>
      </c>
      <c r="B13" s="11">
        <v>1994</v>
      </c>
    </row>
    <row r="14" spans="1:2" x14ac:dyDescent="0.25">
      <c r="A14" s="7" t="s">
        <v>115</v>
      </c>
      <c r="B14" s="11">
        <v>2025</v>
      </c>
    </row>
    <row r="15" spans="1:2" x14ac:dyDescent="0.25">
      <c r="A15" s="7" t="s">
        <v>114</v>
      </c>
      <c r="B15" s="11">
        <v>2024</v>
      </c>
    </row>
    <row r="16" spans="1:2" x14ac:dyDescent="0.25">
      <c r="A16" s="7" t="s">
        <v>65</v>
      </c>
      <c r="B16" s="11">
        <v>2025</v>
      </c>
    </row>
    <row r="17" spans="1:2" x14ac:dyDescent="0.25">
      <c r="A17" s="7" t="s">
        <v>44</v>
      </c>
      <c r="B17" s="11">
        <v>2022</v>
      </c>
    </row>
    <row r="18" spans="1:2" x14ac:dyDescent="0.25">
      <c r="A18" s="7" t="s">
        <v>105</v>
      </c>
      <c r="B18" s="11">
        <v>2025</v>
      </c>
    </row>
    <row r="19" spans="1:2" x14ac:dyDescent="0.25">
      <c r="A19" s="7" t="s">
        <v>87</v>
      </c>
      <c r="B19" s="11">
        <v>2016</v>
      </c>
    </row>
    <row r="20" spans="1:2" x14ac:dyDescent="0.25">
      <c r="A20" s="7" t="s">
        <v>39</v>
      </c>
      <c r="B20" s="11">
        <v>2019</v>
      </c>
    </row>
    <row r="21" spans="1:2" x14ac:dyDescent="0.25">
      <c r="A21" s="7" t="s">
        <v>18</v>
      </c>
      <c r="B21" s="11">
        <v>2025</v>
      </c>
    </row>
    <row r="22" spans="1:2" x14ac:dyDescent="0.25">
      <c r="A22" s="7" t="s">
        <v>30</v>
      </c>
      <c r="B22" s="11">
        <v>2017</v>
      </c>
    </row>
    <row r="23" spans="1:2" x14ac:dyDescent="0.25">
      <c r="A23" s="7" t="s">
        <v>75</v>
      </c>
      <c r="B23" s="11">
        <v>2025</v>
      </c>
    </row>
    <row r="24" spans="1:2" x14ac:dyDescent="0.25">
      <c r="A24" s="7" t="s">
        <v>69</v>
      </c>
      <c r="B24" s="11">
        <v>2025</v>
      </c>
    </row>
    <row r="25" spans="1:2" x14ac:dyDescent="0.25">
      <c r="A25" s="7" t="s">
        <v>128</v>
      </c>
      <c r="B25" s="11"/>
    </row>
    <row r="26" spans="1:2" x14ac:dyDescent="0.25">
      <c r="A26" s="7" t="s">
        <v>129</v>
      </c>
      <c r="B26" s="11">
        <v>42446</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BDFD5-B72E-48FE-8A48-93C5D8659BA5}">
  <sheetPr codeName="Sheet4">
    <tabColor theme="3" tint="0.499984740745262"/>
  </sheetPr>
  <dimension ref="A3:B7"/>
  <sheetViews>
    <sheetView workbookViewId="0">
      <selection activeCell="A6" sqref="A6"/>
    </sheetView>
  </sheetViews>
  <sheetFormatPr defaultRowHeight="15" x14ac:dyDescent="0.25"/>
  <cols>
    <col min="1" max="1" width="13.42578125" bestFit="1" customWidth="1"/>
    <col min="2" max="2" width="12.85546875" bestFit="1" customWidth="1"/>
  </cols>
  <sheetData>
    <row r="3" spans="1:2" x14ac:dyDescent="0.25">
      <c r="A3" s="6" t="s">
        <v>127</v>
      </c>
      <c r="B3" t="s">
        <v>131</v>
      </c>
    </row>
    <row r="4" spans="1:2" x14ac:dyDescent="0.25">
      <c r="A4" s="7" t="s">
        <v>123</v>
      </c>
      <c r="B4" s="11">
        <v>10</v>
      </c>
    </row>
    <row r="5" spans="1:2" x14ac:dyDescent="0.25">
      <c r="A5" s="7" t="s">
        <v>124</v>
      </c>
      <c r="B5" s="11">
        <v>9</v>
      </c>
    </row>
    <row r="6" spans="1:2" x14ac:dyDescent="0.25">
      <c r="A6" s="7" t="s">
        <v>128</v>
      </c>
      <c r="B6" s="11"/>
    </row>
    <row r="7" spans="1:2" x14ac:dyDescent="0.25">
      <c r="A7" s="7" t="s">
        <v>129</v>
      </c>
      <c r="B7" s="11">
        <v>19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90E8B-CED0-41E5-8A6E-59AB51BC7200}">
  <sheetPr codeName="Sheet5">
    <tabColor theme="5" tint="-0.499984740745262"/>
  </sheetPr>
  <dimension ref="A3:B25"/>
  <sheetViews>
    <sheetView workbookViewId="0">
      <selection activeCell="I10" sqref="I10"/>
    </sheetView>
  </sheetViews>
  <sheetFormatPr defaultRowHeight="15" x14ac:dyDescent="0.25"/>
  <cols>
    <col min="1" max="1" width="32.7109375" bestFit="1" customWidth="1"/>
    <col min="2" max="2" width="14.140625" bestFit="1" customWidth="1"/>
    <col min="3" max="3" width="9.140625" bestFit="1" customWidth="1"/>
    <col min="4" max="4" width="16.85546875" bestFit="1" customWidth="1"/>
    <col min="5" max="5" width="24.85546875" bestFit="1" customWidth="1"/>
    <col min="6" max="6" width="14.7109375" bestFit="1" customWidth="1"/>
    <col min="7" max="7" width="23.28515625" bestFit="1" customWidth="1"/>
    <col min="8" max="8" width="28" bestFit="1" customWidth="1"/>
    <col min="9" max="9" width="32.28515625" bestFit="1" customWidth="1"/>
    <col min="10" max="10" width="23.28515625" bestFit="1" customWidth="1"/>
    <col min="11" max="11" width="23.85546875" bestFit="1" customWidth="1"/>
    <col min="12" max="12" width="20.85546875" bestFit="1" customWidth="1"/>
    <col min="13" max="13" width="22.5703125" bestFit="1" customWidth="1"/>
    <col min="14" max="14" width="15.28515625" bestFit="1" customWidth="1"/>
    <col min="15" max="15" width="16.7109375" bestFit="1" customWidth="1"/>
    <col min="16" max="16" width="34" bestFit="1" customWidth="1"/>
    <col min="17" max="17" width="18.28515625" bestFit="1" customWidth="1"/>
    <col min="18" max="18" width="14.140625" bestFit="1" customWidth="1"/>
    <col min="19" max="19" width="21.140625" bestFit="1" customWidth="1"/>
    <col min="20" max="20" width="27.42578125" bestFit="1" customWidth="1"/>
    <col min="21" max="21" width="32" bestFit="1" customWidth="1"/>
    <col min="22" max="22" width="7.28515625" bestFit="1" customWidth="1"/>
    <col min="23" max="24" width="11.28515625" bestFit="1" customWidth="1"/>
  </cols>
  <sheetData>
    <row r="3" spans="1:2" x14ac:dyDescent="0.25">
      <c r="A3" s="6" t="s">
        <v>127</v>
      </c>
      <c r="B3" t="s">
        <v>132</v>
      </c>
    </row>
    <row r="4" spans="1:2" x14ac:dyDescent="0.25">
      <c r="A4" s="7" t="s">
        <v>120</v>
      </c>
      <c r="B4" s="11">
        <v>1</v>
      </c>
    </row>
    <row r="5" spans="1:2" x14ac:dyDescent="0.25">
      <c r="A5" s="7" t="s">
        <v>37</v>
      </c>
      <c r="B5" s="11">
        <v>1</v>
      </c>
    </row>
    <row r="6" spans="1:2" x14ac:dyDescent="0.25">
      <c r="A6" s="7" t="s">
        <v>67</v>
      </c>
      <c r="B6" s="11">
        <v>1</v>
      </c>
    </row>
    <row r="7" spans="1:2" x14ac:dyDescent="0.25">
      <c r="A7" s="7" t="s">
        <v>108</v>
      </c>
      <c r="B7" s="11">
        <v>1</v>
      </c>
    </row>
    <row r="8" spans="1:2" x14ac:dyDescent="0.25">
      <c r="A8" s="7" t="s">
        <v>85</v>
      </c>
      <c r="B8" s="11">
        <v>2</v>
      </c>
    </row>
    <row r="9" spans="1:2" x14ac:dyDescent="0.25">
      <c r="A9" s="7" t="s">
        <v>47</v>
      </c>
      <c r="B9" s="11">
        <v>1</v>
      </c>
    </row>
    <row r="10" spans="1:2" x14ac:dyDescent="0.25">
      <c r="A10" s="7" t="s">
        <v>89</v>
      </c>
      <c r="B10" s="11">
        <v>1</v>
      </c>
    </row>
    <row r="11" spans="1:2" x14ac:dyDescent="0.25">
      <c r="A11" s="7" t="s">
        <v>112</v>
      </c>
      <c r="B11" s="11">
        <v>1</v>
      </c>
    </row>
    <row r="12" spans="1:2" x14ac:dyDescent="0.25">
      <c r="A12" s="7" t="s">
        <v>42</v>
      </c>
      <c r="B12" s="11">
        <v>1</v>
      </c>
    </row>
    <row r="13" spans="1:2" x14ac:dyDescent="0.25">
      <c r="A13" s="7" t="s">
        <v>63</v>
      </c>
      <c r="B13" s="11">
        <v>1</v>
      </c>
    </row>
    <row r="14" spans="1:2" x14ac:dyDescent="0.25">
      <c r="A14" s="7" t="s">
        <v>99</v>
      </c>
      <c r="B14" s="11">
        <v>1</v>
      </c>
    </row>
    <row r="15" spans="1:2" x14ac:dyDescent="0.25">
      <c r="A15" s="7" t="s">
        <v>23</v>
      </c>
      <c r="B15" s="11">
        <v>1</v>
      </c>
    </row>
    <row r="16" spans="1:2" x14ac:dyDescent="0.25">
      <c r="A16" s="7" t="s">
        <v>72</v>
      </c>
      <c r="B16" s="11">
        <v>1</v>
      </c>
    </row>
    <row r="17" spans="1:2" x14ac:dyDescent="0.25">
      <c r="A17" s="7" t="s">
        <v>94</v>
      </c>
      <c r="B17" s="11">
        <v>1</v>
      </c>
    </row>
    <row r="18" spans="1:2" x14ac:dyDescent="0.25">
      <c r="A18" s="7" t="s">
        <v>33</v>
      </c>
      <c r="B18" s="11">
        <v>1</v>
      </c>
    </row>
    <row r="19" spans="1:2" x14ac:dyDescent="0.25">
      <c r="A19" s="7" t="s">
        <v>80</v>
      </c>
      <c r="B19" s="11">
        <v>1</v>
      </c>
    </row>
    <row r="20" spans="1:2" x14ac:dyDescent="0.25">
      <c r="A20" s="7" t="s">
        <v>53</v>
      </c>
      <c r="B20" s="11">
        <v>1</v>
      </c>
    </row>
    <row r="21" spans="1:2" x14ac:dyDescent="0.25">
      <c r="A21" s="7" t="s">
        <v>28</v>
      </c>
      <c r="B21" s="11">
        <v>1</v>
      </c>
    </row>
    <row r="22" spans="1:2" x14ac:dyDescent="0.25">
      <c r="A22" s="7" t="s">
        <v>16</v>
      </c>
      <c r="B22" s="11">
        <v>1</v>
      </c>
    </row>
    <row r="23" spans="1:2" x14ac:dyDescent="0.25">
      <c r="A23" s="7" t="s">
        <v>59</v>
      </c>
      <c r="B23" s="11">
        <v>1</v>
      </c>
    </row>
    <row r="24" spans="1:2" x14ac:dyDescent="0.25">
      <c r="A24" s="7" t="s">
        <v>128</v>
      </c>
      <c r="B24" s="11"/>
    </row>
    <row r="25" spans="1:2" x14ac:dyDescent="0.25">
      <c r="A25" s="7" t="s">
        <v>129</v>
      </c>
      <c r="B25" s="11">
        <v>21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7CE49-FCF1-4C03-A950-FB9F5B209C13}">
  <sheetPr codeName="Sheet6">
    <tabColor theme="5" tint="0.39997558519241921"/>
  </sheetPr>
  <dimension ref="A3:B26"/>
  <sheetViews>
    <sheetView workbookViewId="0">
      <selection activeCell="A8" sqref="A8"/>
    </sheetView>
  </sheetViews>
  <sheetFormatPr defaultRowHeight="15" x14ac:dyDescent="0.25"/>
  <cols>
    <col min="1" max="1" width="29.85546875" bestFit="1" customWidth="1"/>
    <col min="2" max="2" width="16.42578125" bestFit="1" customWidth="1"/>
    <col min="3" max="3" width="21.7109375" bestFit="1" customWidth="1"/>
    <col min="4" max="4" width="8.85546875" bestFit="1" customWidth="1"/>
    <col min="5" max="5" width="24.85546875" bestFit="1" customWidth="1"/>
    <col min="6" max="6" width="16.140625" bestFit="1" customWidth="1"/>
    <col min="7" max="7" width="14.5703125" bestFit="1" customWidth="1"/>
    <col min="8" max="8" width="15.42578125" bestFit="1" customWidth="1"/>
    <col min="9" max="9" width="12.7109375" bestFit="1" customWidth="1"/>
    <col min="10" max="10" width="15.140625" bestFit="1" customWidth="1"/>
    <col min="11" max="11" width="9" bestFit="1" customWidth="1"/>
    <col min="12" max="12" width="12.42578125" bestFit="1" customWidth="1"/>
    <col min="13" max="13" width="18.5703125" bestFit="1" customWidth="1"/>
    <col min="14" max="14" width="13.140625" bestFit="1" customWidth="1"/>
    <col min="15" max="15" width="22.7109375" bestFit="1" customWidth="1"/>
    <col min="16" max="16" width="13.140625" bestFit="1" customWidth="1"/>
    <col min="17" max="17" width="18.5703125" bestFit="1" customWidth="1"/>
    <col min="18" max="18" width="7.28515625" bestFit="1" customWidth="1"/>
    <col min="19" max="19" width="14.42578125" bestFit="1" customWidth="1"/>
    <col min="20" max="20" width="19.42578125" bestFit="1" customWidth="1"/>
    <col min="21" max="21" width="31.85546875" bestFit="1" customWidth="1"/>
    <col min="22" max="22" width="17.42578125" bestFit="1" customWidth="1"/>
    <col min="23" max="23" width="7.28515625" bestFit="1" customWidth="1"/>
    <col min="24" max="24" width="11.28515625" bestFit="1" customWidth="1"/>
  </cols>
  <sheetData>
    <row r="3" spans="1:2" x14ac:dyDescent="0.25">
      <c r="A3" s="6" t="s">
        <v>127</v>
      </c>
      <c r="B3" t="s">
        <v>133</v>
      </c>
    </row>
    <row r="4" spans="1:2" x14ac:dyDescent="0.25">
      <c r="A4" s="7" t="s">
        <v>35</v>
      </c>
      <c r="B4" s="11">
        <v>12</v>
      </c>
    </row>
    <row r="5" spans="1:2" x14ac:dyDescent="0.25">
      <c r="A5" s="7" t="s">
        <v>9</v>
      </c>
      <c r="B5" s="11">
        <v>8</v>
      </c>
    </row>
    <row r="6" spans="1:2" x14ac:dyDescent="0.25">
      <c r="A6" s="7" t="s">
        <v>101</v>
      </c>
      <c r="B6" s="11">
        <v>0</v>
      </c>
    </row>
    <row r="7" spans="1:2" x14ac:dyDescent="0.25">
      <c r="A7" s="7" t="s">
        <v>96</v>
      </c>
      <c r="B7" s="11">
        <v>0</v>
      </c>
    </row>
    <row r="8" spans="1:2" x14ac:dyDescent="0.25">
      <c r="A8" s="7" t="s">
        <v>82</v>
      </c>
      <c r="B8" s="11">
        <v>0</v>
      </c>
    </row>
    <row r="9" spans="1:2" x14ac:dyDescent="0.25">
      <c r="A9" s="7" t="s">
        <v>61</v>
      </c>
      <c r="B9" s="11">
        <v>1</v>
      </c>
    </row>
    <row r="10" spans="1:2" x14ac:dyDescent="0.25">
      <c r="A10" s="7" t="s">
        <v>49</v>
      </c>
      <c r="B10" s="11">
        <v>4</v>
      </c>
    </row>
    <row r="11" spans="1:2" x14ac:dyDescent="0.25">
      <c r="A11" s="7" t="s">
        <v>55</v>
      </c>
      <c r="B11" s="11">
        <v>0</v>
      </c>
    </row>
    <row r="12" spans="1:2" x14ac:dyDescent="0.25">
      <c r="A12" s="7" t="s">
        <v>91</v>
      </c>
      <c r="B12" s="11">
        <v>0</v>
      </c>
    </row>
    <row r="13" spans="1:2" x14ac:dyDescent="0.25">
      <c r="A13" s="7" t="s">
        <v>25</v>
      </c>
      <c r="B13" s="11">
        <v>10</v>
      </c>
    </row>
    <row r="14" spans="1:2" x14ac:dyDescent="0.25">
      <c r="A14" s="7" t="s">
        <v>115</v>
      </c>
      <c r="B14" s="11">
        <v>0</v>
      </c>
    </row>
    <row r="15" spans="1:2" x14ac:dyDescent="0.25">
      <c r="A15" s="7" t="s">
        <v>114</v>
      </c>
      <c r="B15" s="11">
        <v>1</v>
      </c>
    </row>
    <row r="16" spans="1:2" x14ac:dyDescent="0.25">
      <c r="A16" s="7" t="s">
        <v>65</v>
      </c>
      <c r="B16" s="11">
        <v>0</v>
      </c>
    </row>
    <row r="17" spans="1:2" x14ac:dyDescent="0.25">
      <c r="A17" s="7" t="s">
        <v>44</v>
      </c>
      <c r="B17" s="11">
        <v>0</v>
      </c>
    </row>
    <row r="18" spans="1:2" x14ac:dyDescent="0.25">
      <c r="A18" s="7" t="s">
        <v>105</v>
      </c>
      <c r="B18" s="11">
        <v>0</v>
      </c>
    </row>
    <row r="19" spans="1:2" x14ac:dyDescent="0.25">
      <c r="A19" s="7" t="s">
        <v>87</v>
      </c>
      <c r="B19" s="11">
        <v>4</v>
      </c>
    </row>
    <row r="20" spans="1:2" x14ac:dyDescent="0.25">
      <c r="A20" s="7" t="s">
        <v>39</v>
      </c>
      <c r="B20" s="11">
        <v>9</v>
      </c>
    </row>
    <row r="21" spans="1:2" x14ac:dyDescent="0.25">
      <c r="A21" s="7" t="s">
        <v>18</v>
      </c>
      <c r="B21" s="11">
        <v>0</v>
      </c>
    </row>
    <row r="22" spans="1:2" x14ac:dyDescent="0.25">
      <c r="A22" s="7" t="s">
        <v>30</v>
      </c>
      <c r="B22" s="11">
        <v>6</v>
      </c>
    </row>
    <row r="23" spans="1:2" x14ac:dyDescent="0.25">
      <c r="A23" s="7" t="s">
        <v>75</v>
      </c>
      <c r="B23" s="11">
        <v>1</v>
      </c>
    </row>
    <row r="24" spans="1:2" x14ac:dyDescent="0.25">
      <c r="A24" s="7" t="s">
        <v>69</v>
      </c>
      <c r="B24" s="11">
        <v>5</v>
      </c>
    </row>
    <row r="25" spans="1:2" x14ac:dyDescent="0.25">
      <c r="A25" s="7" t="s">
        <v>128</v>
      </c>
      <c r="B25" s="11"/>
    </row>
    <row r="26" spans="1:2" x14ac:dyDescent="0.25">
      <c r="A26" s="7" t="s">
        <v>129</v>
      </c>
      <c r="B26" s="11">
        <v>61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C1EC1-BF15-4666-BA26-F08F1717C73A}">
  <sheetPr codeName="Sheet7">
    <tabColor rgb="FFFF7C80"/>
  </sheetPr>
  <dimension ref="A3:B8"/>
  <sheetViews>
    <sheetView workbookViewId="0">
      <selection activeCell="A3" sqref="A3:B9"/>
    </sheetView>
  </sheetViews>
  <sheetFormatPr defaultRowHeight="15" x14ac:dyDescent="0.25"/>
  <cols>
    <col min="1" max="1" width="14.28515625" bestFit="1" customWidth="1"/>
    <col min="2" max="2" width="14.140625" bestFit="1" customWidth="1"/>
    <col min="3" max="3" width="6.5703125" bestFit="1" customWidth="1"/>
    <col min="4" max="4" width="7.140625" bestFit="1" customWidth="1"/>
    <col min="5" max="5" width="15" bestFit="1" customWidth="1"/>
    <col min="6" max="6" width="7.28515625" bestFit="1" customWidth="1"/>
    <col min="7" max="7" width="11.28515625" bestFit="1" customWidth="1"/>
  </cols>
  <sheetData>
    <row r="3" spans="1:2" x14ac:dyDescent="0.25">
      <c r="A3" s="6" t="s">
        <v>127</v>
      </c>
      <c r="B3" t="s">
        <v>132</v>
      </c>
    </row>
    <row r="4" spans="1:2" x14ac:dyDescent="0.25">
      <c r="A4" s="7" t="s">
        <v>21</v>
      </c>
      <c r="B4" s="11">
        <v>11</v>
      </c>
    </row>
    <row r="5" spans="1:2" x14ac:dyDescent="0.25">
      <c r="A5" s="7" t="s">
        <v>52</v>
      </c>
      <c r="B5" s="11">
        <v>1</v>
      </c>
    </row>
    <row r="6" spans="1:2" x14ac:dyDescent="0.25">
      <c r="A6" s="7" t="s">
        <v>78</v>
      </c>
      <c r="B6" s="11">
        <v>1</v>
      </c>
    </row>
    <row r="7" spans="1:2" x14ac:dyDescent="0.25">
      <c r="A7" s="7" t="s">
        <v>13</v>
      </c>
      <c r="B7" s="11">
        <v>8</v>
      </c>
    </row>
    <row r="8" spans="1:2" x14ac:dyDescent="0.25">
      <c r="A8" s="7" t="s">
        <v>129</v>
      </c>
      <c r="B8" s="11">
        <v>21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6336C-EFFC-4305-B162-12677EC03788}">
  <sheetPr>
    <tabColor rgb="FFFF7C80"/>
  </sheetPr>
  <dimension ref="A3:B8"/>
  <sheetViews>
    <sheetView workbookViewId="0">
      <selection activeCell="I40" sqref="I40"/>
    </sheetView>
  </sheetViews>
  <sheetFormatPr defaultRowHeight="15" x14ac:dyDescent="0.25"/>
  <cols>
    <col min="1" max="1" width="13.42578125" bestFit="1" customWidth="1"/>
    <col min="2" max="2" width="14.140625" bestFit="1" customWidth="1"/>
  </cols>
  <sheetData>
    <row r="3" spans="1:2" x14ac:dyDescent="0.25">
      <c r="A3" s="6" t="s">
        <v>127</v>
      </c>
      <c r="B3" t="s">
        <v>132</v>
      </c>
    </row>
    <row r="4" spans="1:2" x14ac:dyDescent="0.25">
      <c r="A4" s="7" t="s">
        <v>57</v>
      </c>
      <c r="B4" s="11">
        <v>1</v>
      </c>
    </row>
    <row r="5" spans="1:2" x14ac:dyDescent="0.25">
      <c r="A5" s="7" t="s">
        <v>14</v>
      </c>
      <c r="B5" s="11">
        <v>15</v>
      </c>
    </row>
    <row r="6" spans="1:2" x14ac:dyDescent="0.25">
      <c r="A6" s="7" t="s">
        <v>71</v>
      </c>
      <c r="B6" s="11">
        <v>5</v>
      </c>
    </row>
    <row r="7" spans="1:2" x14ac:dyDescent="0.25">
      <c r="A7" s="7" t="s">
        <v>128</v>
      </c>
      <c r="B7" s="11"/>
    </row>
    <row r="8" spans="1:2" x14ac:dyDescent="0.25">
      <c r="A8" s="7" t="s">
        <v>129</v>
      </c>
      <c r="B8" s="11">
        <v>21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B671E-090E-4574-B77A-2369EB920811}">
  <sheetPr codeName="Sheet11"/>
  <dimension ref="A1:Q22"/>
  <sheetViews>
    <sheetView topLeftCell="H1" workbookViewId="0">
      <selection activeCell="N15" sqref="N15"/>
    </sheetView>
  </sheetViews>
  <sheetFormatPr defaultRowHeight="15" x14ac:dyDescent="0.25"/>
  <cols>
    <col min="1" max="1" width="29.85546875" bestFit="1" customWidth="1"/>
    <col min="2" max="2" width="14.7109375" bestFit="1" customWidth="1"/>
    <col min="3" max="3" width="13.28515625" customWidth="1"/>
    <col min="4" max="4" width="30.42578125" bestFit="1" customWidth="1"/>
    <col min="5" max="5" width="14.28515625" bestFit="1" customWidth="1"/>
    <col min="6" max="6" width="14.85546875" style="1" bestFit="1" customWidth="1"/>
    <col min="7" max="7" width="13.28515625" customWidth="1"/>
    <col min="9" max="9" width="11.5703125" customWidth="1"/>
    <col min="10" max="10" width="33.85546875" bestFit="1" customWidth="1"/>
    <col min="11" max="11" width="152.7109375" customWidth="1"/>
    <col min="15" max="15" width="10.7109375" bestFit="1" customWidth="1"/>
    <col min="16" max="16" width="9.85546875" bestFit="1" customWidth="1"/>
  </cols>
  <sheetData>
    <row r="1" spans="1:17" x14ac:dyDescent="0.25">
      <c r="A1" t="s">
        <v>0</v>
      </c>
      <c r="B1" t="s">
        <v>1</v>
      </c>
      <c r="C1" s="2" t="s">
        <v>11</v>
      </c>
      <c r="D1" t="s">
        <v>119</v>
      </c>
      <c r="E1" t="s">
        <v>2</v>
      </c>
      <c r="F1" s="1" t="s">
        <v>3</v>
      </c>
      <c r="G1" t="s">
        <v>4</v>
      </c>
      <c r="H1" t="s">
        <v>5</v>
      </c>
      <c r="I1" t="s">
        <v>6</v>
      </c>
      <c r="J1" t="s">
        <v>7</v>
      </c>
      <c r="K1" t="s">
        <v>8</v>
      </c>
      <c r="L1" t="str">
        <f t="shared" ref="L1:L22" si="0">TEXT(F2,"yyyy-mm")</f>
        <v>2020-04</v>
      </c>
      <c r="M1" t="s">
        <v>121</v>
      </c>
      <c r="N1" t="s">
        <v>122</v>
      </c>
      <c r="P1" t="s">
        <v>126</v>
      </c>
      <c r="Q1" t="s">
        <v>125</v>
      </c>
    </row>
    <row r="2" spans="1:17" ht="15.75" x14ac:dyDescent="0.25">
      <c r="A2" t="s">
        <v>49</v>
      </c>
      <c r="B2" t="s">
        <v>50</v>
      </c>
      <c r="C2" s="2">
        <v>4</v>
      </c>
      <c r="D2" s="4" t="s">
        <v>51</v>
      </c>
      <c r="E2" t="s">
        <v>52</v>
      </c>
      <c r="F2" s="1">
        <v>43951</v>
      </c>
      <c r="G2">
        <v>2020</v>
      </c>
      <c r="H2" t="s">
        <v>14</v>
      </c>
      <c r="I2" t="s">
        <v>27</v>
      </c>
      <c r="J2" t="s">
        <v>53</v>
      </c>
      <c r="K2" t="s">
        <v>54</v>
      </c>
      <c r="L2" t="str">
        <f t="shared" si="0"/>
        <v>2025-03</v>
      </c>
    </row>
    <row r="3" spans="1:17" x14ac:dyDescent="0.25">
      <c r="A3" t="s">
        <v>75</v>
      </c>
      <c r="B3" t="s">
        <v>76</v>
      </c>
      <c r="C3" s="2">
        <v>1</v>
      </c>
      <c r="D3" t="s">
        <v>77</v>
      </c>
      <c r="E3" t="s">
        <v>78</v>
      </c>
      <c r="F3" s="1">
        <v>45723</v>
      </c>
      <c r="G3">
        <v>2025</v>
      </c>
      <c r="H3" t="s">
        <v>71</v>
      </c>
      <c r="I3" t="s">
        <v>79</v>
      </c>
      <c r="J3" t="s">
        <v>80</v>
      </c>
      <c r="K3" t="s">
        <v>81</v>
      </c>
      <c r="L3" t="str">
        <f t="shared" si="0"/>
        <v>2025-04</v>
      </c>
    </row>
    <row r="4" spans="1:17" x14ac:dyDescent="0.25">
      <c r="A4" t="s">
        <v>101</v>
      </c>
      <c r="B4" t="s">
        <v>19</v>
      </c>
      <c r="C4" s="2">
        <v>0</v>
      </c>
      <c r="D4" t="s">
        <v>102</v>
      </c>
      <c r="E4" t="s">
        <v>21</v>
      </c>
      <c r="F4" s="1">
        <v>45758</v>
      </c>
      <c r="G4">
        <v>2025</v>
      </c>
      <c r="H4" t="s">
        <v>14</v>
      </c>
      <c r="I4" t="s">
        <v>103</v>
      </c>
      <c r="J4" t="s">
        <v>120</v>
      </c>
      <c r="K4" t="s">
        <v>104</v>
      </c>
      <c r="L4" t="str">
        <f t="shared" si="0"/>
        <v>2025-04</v>
      </c>
    </row>
    <row r="5" spans="1:17" x14ac:dyDescent="0.25">
      <c r="A5" t="s">
        <v>96</v>
      </c>
      <c r="B5" t="s">
        <v>19</v>
      </c>
      <c r="C5" s="2">
        <v>0</v>
      </c>
      <c r="D5" t="s">
        <v>97</v>
      </c>
      <c r="E5" t="s">
        <v>21</v>
      </c>
      <c r="F5" s="1">
        <v>45758</v>
      </c>
      <c r="G5">
        <v>2025</v>
      </c>
      <c r="H5" t="s">
        <v>71</v>
      </c>
      <c r="I5" t="s">
        <v>98</v>
      </c>
      <c r="J5" t="s">
        <v>99</v>
      </c>
      <c r="K5" t="s">
        <v>100</v>
      </c>
      <c r="L5" t="str">
        <f t="shared" si="0"/>
        <v>2025-02</v>
      </c>
    </row>
    <row r="6" spans="1:17" x14ac:dyDescent="0.25">
      <c r="A6" t="s">
        <v>82</v>
      </c>
      <c r="B6" t="s">
        <v>19</v>
      </c>
      <c r="C6" s="2">
        <v>0</v>
      </c>
      <c r="D6" t="s">
        <v>83</v>
      </c>
      <c r="E6" t="s">
        <v>21</v>
      </c>
      <c r="F6" s="1">
        <v>45709</v>
      </c>
      <c r="G6">
        <v>2025</v>
      </c>
      <c r="H6" t="s">
        <v>14</v>
      </c>
      <c r="I6" t="s">
        <v>84</v>
      </c>
      <c r="J6" t="s">
        <v>85</v>
      </c>
      <c r="K6" t="s">
        <v>86</v>
      </c>
      <c r="L6" t="str">
        <f t="shared" si="0"/>
        <v>2025-03</v>
      </c>
    </row>
    <row r="7" spans="1:17" x14ac:dyDescent="0.25">
      <c r="A7" t="s">
        <v>55</v>
      </c>
      <c r="B7" t="s">
        <v>19</v>
      </c>
      <c r="C7" s="2">
        <v>0</v>
      </c>
      <c r="D7" t="s">
        <v>56</v>
      </c>
      <c r="E7" t="s">
        <v>21</v>
      </c>
      <c r="F7" s="5">
        <v>45733</v>
      </c>
      <c r="G7">
        <v>2025</v>
      </c>
      <c r="H7" t="s">
        <v>57</v>
      </c>
      <c r="I7" t="s">
        <v>58</v>
      </c>
      <c r="J7" t="s">
        <v>59</v>
      </c>
      <c r="K7" t="s">
        <v>60</v>
      </c>
      <c r="L7" t="str">
        <f t="shared" si="0"/>
        <v>2025-04</v>
      </c>
    </row>
    <row r="8" spans="1:17" x14ac:dyDescent="0.25">
      <c r="A8" t="s">
        <v>91</v>
      </c>
      <c r="B8" t="s">
        <v>19</v>
      </c>
      <c r="C8" s="2">
        <v>0</v>
      </c>
      <c r="D8" t="s">
        <v>92</v>
      </c>
      <c r="E8" t="s">
        <v>13</v>
      </c>
      <c r="F8" s="5">
        <v>45777</v>
      </c>
      <c r="G8">
        <v>2025</v>
      </c>
      <c r="H8" t="s">
        <v>14</v>
      </c>
      <c r="I8" t="s">
        <v>93</v>
      </c>
      <c r="J8" t="s">
        <v>94</v>
      </c>
      <c r="K8" t="s">
        <v>95</v>
      </c>
      <c r="L8" t="str">
        <f t="shared" si="0"/>
        <v>2025-04</v>
      </c>
    </row>
    <row r="9" spans="1:17" x14ac:dyDescent="0.25">
      <c r="A9" t="s">
        <v>115</v>
      </c>
      <c r="B9" t="s">
        <v>19</v>
      </c>
      <c r="C9" s="2">
        <v>0</v>
      </c>
      <c r="D9" t="s">
        <v>116</v>
      </c>
      <c r="E9" t="s">
        <v>21</v>
      </c>
      <c r="F9" s="1">
        <v>45772</v>
      </c>
      <c r="G9">
        <v>2025</v>
      </c>
      <c r="H9" t="s">
        <v>14</v>
      </c>
      <c r="I9" t="s">
        <v>117</v>
      </c>
      <c r="J9" t="s">
        <v>85</v>
      </c>
      <c r="K9" t="s">
        <v>118</v>
      </c>
      <c r="L9" t="str">
        <f t="shared" si="0"/>
        <v>2025-04</v>
      </c>
    </row>
    <row r="10" spans="1:17" x14ac:dyDescent="0.25">
      <c r="A10" t="s">
        <v>65</v>
      </c>
      <c r="B10" t="s">
        <v>19</v>
      </c>
      <c r="C10" s="2">
        <v>0</v>
      </c>
      <c r="D10" t="s">
        <v>66</v>
      </c>
      <c r="E10" t="s">
        <v>21</v>
      </c>
      <c r="F10" s="1">
        <v>45772</v>
      </c>
      <c r="G10">
        <v>2025</v>
      </c>
      <c r="H10" t="s">
        <v>14</v>
      </c>
      <c r="I10" t="s">
        <v>58</v>
      </c>
      <c r="J10" t="s">
        <v>67</v>
      </c>
      <c r="K10" t="s">
        <v>68</v>
      </c>
      <c r="L10" t="str">
        <f t="shared" si="0"/>
        <v>2022-11</v>
      </c>
    </row>
    <row r="11" spans="1:17" x14ac:dyDescent="0.25">
      <c r="A11" t="s">
        <v>44</v>
      </c>
      <c r="B11" t="s">
        <v>19</v>
      </c>
      <c r="C11" s="2">
        <v>0</v>
      </c>
      <c r="D11" t="s">
        <v>45</v>
      </c>
      <c r="E11" t="s">
        <v>21</v>
      </c>
      <c r="F11" s="1">
        <v>44876</v>
      </c>
      <c r="G11">
        <v>2022</v>
      </c>
      <c r="H11" t="s">
        <v>14</v>
      </c>
      <c r="I11" t="s">
        <v>46</v>
      </c>
      <c r="J11" t="s">
        <v>47</v>
      </c>
      <c r="K11" t="s">
        <v>48</v>
      </c>
      <c r="L11" t="str">
        <f t="shared" si="0"/>
        <v>2025-03</v>
      </c>
    </row>
    <row r="12" spans="1:17" x14ac:dyDescent="0.25">
      <c r="A12" t="s">
        <v>105</v>
      </c>
      <c r="B12" t="s">
        <v>19</v>
      </c>
      <c r="C12" s="2">
        <v>0</v>
      </c>
      <c r="D12" t="s">
        <v>106</v>
      </c>
      <c r="E12" t="s">
        <v>21</v>
      </c>
      <c r="F12" s="1">
        <v>45723</v>
      </c>
      <c r="G12">
        <v>2025</v>
      </c>
      <c r="H12" t="s">
        <v>71</v>
      </c>
      <c r="I12" t="s">
        <v>107</v>
      </c>
      <c r="J12" t="s">
        <v>108</v>
      </c>
      <c r="K12" t="s">
        <v>109</v>
      </c>
      <c r="L12" t="str">
        <f t="shared" si="0"/>
        <v>2025-03</v>
      </c>
    </row>
    <row r="13" spans="1:17" x14ac:dyDescent="0.25">
      <c r="A13" t="s">
        <v>18</v>
      </c>
      <c r="B13" t="s">
        <v>19</v>
      </c>
      <c r="C13" s="2">
        <v>0</v>
      </c>
      <c r="D13" t="s">
        <v>20</v>
      </c>
      <c r="E13" t="s">
        <v>21</v>
      </c>
      <c r="F13" s="1">
        <v>45730</v>
      </c>
      <c r="G13">
        <v>2025</v>
      </c>
      <c r="H13" t="s">
        <v>14</v>
      </c>
      <c r="I13" t="s">
        <v>22</v>
      </c>
      <c r="J13" t="s">
        <v>23</v>
      </c>
      <c r="K13" t="s">
        <v>24</v>
      </c>
      <c r="L13" t="str">
        <f t="shared" si="0"/>
        <v>2018-01</v>
      </c>
    </row>
    <row r="14" spans="1:17" x14ac:dyDescent="0.25">
      <c r="A14" t="s">
        <v>35</v>
      </c>
      <c r="B14" t="s">
        <v>10</v>
      </c>
      <c r="C14" s="2">
        <v>12</v>
      </c>
      <c r="D14" t="s">
        <v>36</v>
      </c>
      <c r="E14" t="s">
        <v>13</v>
      </c>
      <c r="F14" s="1">
        <v>43101</v>
      </c>
      <c r="G14">
        <v>2018</v>
      </c>
      <c r="H14" t="s">
        <v>14</v>
      </c>
      <c r="I14" t="s">
        <v>27</v>
      </c>
      <c r="J14" t="s">
        <v>37</v>
      </c>
      <c r="K14" s="2" t="s">
        <v>38</v>
      </c>
      <c r="L14" t="str">
        <f t="shared" si="0"/>
        <v>2016-04</v>
      </c>
      <c r="M14" t="s">
        <v>123</v>
      </c>
      <c r="N14">
        <f>COUNTIF(B:B,"movie")</f>
        <v>10</v>
      </c>
    </row>
    <row r="15" spans="1:17" x14ac:dyDescent="0.25">
      <c r="A15" t="s">
        <v>9</v>
      </c>
      <c r="B15" t="s">
        <v>10</v>
      </c>
      <c r="C15" s="2">
        <v>8</v>
      </c>
      <c r="D15" t="s">
        <v>12</v>
      </c>
      <c r="E15" t="s">
        <v>13</v>
      </c>
      <c r="F15" s="1">
        <v>42461</v>
      </c>
      <c r="G15">
        <v>2016</v>
      </c>
      <c r="H15" t="s">
        <v>14</v>
      </c>
      <c r="I15" t="s">
        <v>15</v>
      </c>
      <c r="J15" t="s">
        <v>16</v>
      </c>
      <c r="K15" t="s">
        <v>17</v>
      </c>
      <c r="L15" t="str">
        <f t="shared" si="0"/>
        <v>2025-02</v>
      </c>
      <c r="M15" t="s">
        <v>124</v>
      </c>
      <c r="N15">
        <f>COUNTIF(B:B,"tv series")</f>
        <v>9</v>
      </c>
    </row>
    <row r="16" spans="1:17" ht="15.75" x14ac:dyDescent="0.25">
      <c r="A16" t="s">
        <v>61</v>
      </c>
      <c r="B16" t="s">
        <v>10</v>
      </c>
      <c r="C16" s="2">
        <v>1</v>
      </c>
      <c r="D16" s="4" t="s">
        <v>62</v>
      </c>
      <c r="E16" t="s">
        <v>21</v>
      </c>
      <c r="F16" s="1">
        <v>45716</v>
      </c>
      <c r="G16">
        <v>2025</v>
      </c>
      <c r="H16" t="s">
        <v>14</v>
      </c>
      <c r="I16" t="s">
        <v>27</v>
      </c>
      <c r="J16" t="s">
        <v>63</v>
      </c>
      <c r="K16" t="s">
        <v>64</v>
      </c>
      <c r="L16" t="str">
        <f t="shared" si="0"/>
        <v>2019-04</v>
      </c>
    </row>
    <row r="17" spans="1:12" x14ac:dyDescent="0.25">
      <c r="A17" t="s">
        <v>25</v>
      </c>
      <c r="B17" t="s">
        <v>10</v>
      </c>
      <c r="C17">
        <v>10</v>
      </c>
      <c r="D17" t="s">
        <v>26</v>
      </c>
      <c r="E17" t="s">
        <v>13</v>
      </c>
      <c r="F17" s="1">
        <v>43556</v>
      </c>
      <c r="G17">
        <v>1994</v>
      </c>
      <c r="H17" t="s">
        <v>14</v>
      </c>
      <c r="I17" t="s">
        <v>27</v>
      </c>
      <c r="J17" t="s">
        <v>28</v>
      </c>
      <c r="K17" s="3" t="s">
        <v>29</v>
      </c>
      <c r="L17" t="str">
        <f t="shared" si="0"/>
        <v>2016-07</v>
      </c>
    </row>
    <row r="18" spans="1:12" x14ac:dyDescent="0.25">
      <c r="A18" t="s">
        <v>87</v>
      </c>
      <c r="B18" t="s">
        <v>10</v>
      </c>
      <c r="C18" s="2">
        <v>4</v>
      </c>
      <c r="D18" t="s">
        <v>88</v>
      </c>
      <c r="E18" t="s">
        <v>13</v>
      </c>
      <c r="F18" s="1">
        <v>42566</v>
      </c>
      <c r="G18">
        <v>2016</v>
      </c>
      <c r="H18" t="s">
        <v>14</v>
      </c>
      <c r="I18" t="s">
        <v>41</v>
      </c>
      <c r="J18" t="s">
        <v>89</v>
      </c>
      <c r="K18" t="s">
        <v>90</v>
      </c>
      <c r="L18" t="str">
        <f t="shared" si="0"/>
        <v>2018-01</v>
      </c>
    </row>
    <row r="19" spans="1:12" x14ac:dyDescent="0.25">
      <c r="A19" t="s">
        <v>39</v>
      </c>
      <c r="B19" t="s">
        <v>10</v>
      </c>
      <c r="C19" s="2">
        <v>9</v>
      </c>
      <c r="D19" t="s">
        <v>40</v>
      </c>
      <c r="E19" t="s">
        <v>13</v>
      </c>
      <c r="F19" s="1">
        <v>43101</v>
      </c>
      <c r="G19">
        <v>2019</v>
      </c>
      <c r="H19" t="s">
        <v>14</v>
      </c>
      <c r="I19" t="s">
        <v>41</v>
      </c>
      <c r="J19" t="s">
        <v>42</v>
      </c>
      <c r="K19" t="s">
        <v>43</v>
      </c>
      <c r="L19" t="str">
        <f t="shared" si="0"/>
        <v>2017-09</v>
      </c>
    </row>
    <row r="20" spans="1:12" x14ac:dyDescent="0.25">
      <c r="A20" t="s">
        <v>30</v>
      </c>
      <c r="B20" t="s">
        <v>10</v>
      </c>
      <c r="C20" s="2">
        <v>6</v>
      </c>
      <c r="D20" t="s">
        <v>31</v>
      </c>
      <c r="E20" t="s">
        <v>13</v>
      </c>
      <c r="F20" s="1">
        <v>43003</v>
      </c>
      <c r="G20">
        <v>2017</v>
      </c>
      <c r="H20" t="s">
        <v>14</v>
      </c>
      <c r="I20" t="s">
        <v>32</v>
      </c>
      <c r="J20" t="s">
        <v>33</v>
      </c>
      <c r="K20" t="s">
        <v>34</v>
      </c>
      <c r="L20" t="str">
        <f t="shared" si="0"/>
        <v>2023-11</v>
      </c>
    </row>
    <row r="21" spans="1:12" x14ac:dyDescent="0.25">
      <c r="A21" t="s">
        <v>69</v>
      </c>
      <c r="B21" t="s">
        <v>10</v>
      </c>
      <c r="C21" s="2">
        <v>5</v>
      </c>
      <c r="D21" t="s">
        <v>70</v>
      </c>
      <c r="E21" t="s">
        <v>13</v>
      </c>
      <c r="F21" s="5">
        <v>45254</v>
      </c>
      <c r="G21">
        <v>2025</v>
      </c>
      <c r="H21" t="s">
        <v>71</v>
      </c>
      <c r="I21" t="s">
        <v>74</v>
      </c>
      <c r="J21" t="s">
        <v>72</v>
      </c>
      <c r="K21" t="s">
        <v>73</v>
      </c>
      <c r="L21" t="str">
        <f t="shared" si="0"/>
        <v>2024-03</v>
      </c>
    </row>
    <row r="22" spans="1:12" x14ac:dyDescent="0.25">
      <c r="A22" t="s">
        <v>114</v>
      </c>
      <c r="B22" t="s">
        <v>10</v>
      </c>
      <c r="C22" s="2">
        <v>1</v>
      </c>
      <c r="D22" t="s">
        <v>110</v>
      </c>
      <c r="E22" t="s">
        <v>21</v>
      </c>
      <c r="F22" s="1">
        <v>45352</v>
      </c>
      <c r="G22">
        <v>2024</v>
      </c>
      <c r="H22" t="s">
        <v>71</v>
      </c>
      <c r="I22" t="s">
        <v>111</v>
      </c>
      <c r="J22" t="s">
        <v>112</v>
      </c>
      <c r="K22" t="s">
        <v>113</v>
      </c>
      <c r="L22" t="str">
        <f t="shared" si="0"/>
        <v>1900-01</v>
      </c>
    </row>
  </sheetData>
  <autoFilter ref="B1:B22" xr:uid="{D15B671E-090E-4574-B77A-2369EB920811}"/>
  <sortState xmlns:xlrd2="http://schemas.microsoft.com/office/spreadsheetml/2017/richdata2" ref="A2:N22">
    <sortCondition ref="B1:B22"/>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CD8D-1F67-4574-8A5E-12B521719EBB}">
  <sheetPr codeName="Sheet1">
    <tabColor rgb="FFCC3300"/>
  </sheetPr>
  <dimension ref="A1:AP72"/>
  <sheetViews>
    <sheetView showGridLines="0" tabSelected="1" zoomScale="80" zoomScaleNormal="80" workbookViewId="0">
      <selection activeCell="AE31" sqref="AE31"/>
    </sheetView>
  </sheetViews>
  <sheetFormatPr defaultRowHeight="15" x14ac:dyDescent="0.25"/>
  <cols>
    <col min="1" max="10" width="9.140625" style="10"/>
    <col min="11" max="11" width="43.28515625" style="10" bestFit="1" customWidth="1"/>
    <col min="12" max="12" width="9.140625" style="10"/>
    <col min="13" max="13" width="9.140625" style="10" customWidth="1"/>
    <col min="14" max="14" width="14.5703125" style="10" customWidth="1"/>
    <col min="15" max="15" width="9" style="10" customWidth="1"/>
    <col min="16" max="16" width="20.28515625" style="10" customWidth="1"/>
    <col min="17" max="29" width="9.140625" style="10"/>
  </cols>
  <sheetData>
    <row r="1" spans="30:42" x14ac:dyDescent="0.25">
      <c r="AD1" s="8"/>
      <c r="AE1" s="8"/>
      <c r="AF1" s="8"/>
      <c r="AG1" s="8"/>
      <c r="AH1" s="8"/>
      <c r="AI1" s="8"/>
      <c r="AJ1" s="8"/>
      <c r="AK1" s="8"/>
      <c r="AL1" s="8"/>
      <c r="AM1" s="8"/>
      <c r="AN1" s="8"/>
      <c r="AO1" s="8"/>
      <c r="AP1" s="8"/>
    </row>
    <row r="2" spans="30:42" x14ac:dyDescent="0.25">
      <c r="AD2" s="8"/>
      <c r="AE2" s="8"/>
      <c r="AF2" s="8"/>
      <c r="AG2" s="8"/>
      <c r="AH2" s="8"/>
      <c r="AI2" s="8"/>
      <c r="AJ2" s="8"/>
      <c r="AK2" s="8"/>
      <c r="AL2" s="8"/>
      <c r="AM2" s="8"/>
      <c r="AN2" s="8"/>
      <c r="AO2" s="8"/>
      <c r="AP2" s="8"/>
    </row>
    <row r="3" spans="30:42" x14ac:dyDescent="0.25">
      <c r="AD3" s="8"/>
      <c r="AE3" s="8"/>
      <c r="AF3" s="8"/>
      <c r="AG3" s="8"/>
      <c r="AH3" s="8"/>
      <c r="AI3" s="8"/>
      <c r="AJ3" s="8"/>
      <c r="AK3" s="8"/>
      <c r="AL3" s="8"/>
      <c r="AM3" s="8"/>
      <c r="AN3" s="8"/>
      <c r="AO3" s="8"/>
      <c r="AP3" s="8"/>
    </row>
    <row r="4" spans="30:42" x14ac:dyDescent="0.25">
      <c r="AD4" s="8"/>
      <c r="AE4" s="8"/>
      <c r="AF4" s="8"/>
      <c r="AG4" s="8"/>
      <c r="AH4" s="8"/>
      <c r="AI4" s="8"/>
      <c r="AJ4" s="8"/>
      <c r="AK4" s="8"/>
      <c r="AL4" s="8"/>
      <c r="AM4" s="8"/>
      <c r="AN4" s="8"/>
      <c r="AO4" s="8"/>
      <c r="AP4" s="8"/>
    </row>
    <row r="5" spans="30:42" x14ac:dyDescent="0.25">
      <c r="AD5" s="8"/>
      <c r="AE5" s="8"/>
      <c r="AF5" s="8"/>
      <c r="AG5" s="8"/>
      <c r="AH5" s="8"/>
      <c r="AI5" s="8"/>
      <c r="AJ5" s="8"/>
      <c r="AK5" s="8"/>
      <c r="AL5" s="8"/>
      <c r="AM5" s="8"/>
      <c r="AN5" s="8"/>
      <c r="AO5" s="8"/>
      <c r="AP5" s="8"/>
    </row>
    <row r="6" spans="30:42" x14ac:dyDescent="0.25">
      <c r="AD6" s="8"/>
      <c r="AE6" s="8"/>
      <c r="AF6" s="8"/>
      <c r="AG6" s="8"/>
      <c r="AH6" s="8"/>
      <c r="AI6" s="8"/>
      <c r="AJ6" s="8"/>
      <c r="AK6" s="8"/>
      <c r="AL6" s="8"/>
      <c r="AM6" s="8"/>
      <c r="AN6" s="8"/>
      <c r="AO6" s="8"/>
      <c r="AP6" s="8"/>
    </row>
    <row r="7" spans="30:42" x14ac:dyDescent="0.25">
      <c r="AD7" s="8"/>
      <c r="AE7" s="8"/>
      <c r="AF7" s="8"/>
      <c r="AG7" s="8"/>
      <c r="AH7" s="8"/>
      <c r="AI7" s="8"/>
      <c r="AJ7" s="8"/>
      <c r="AK7" s="8"/>
      <c r="AL7" s="8"/>
      <c r="AM7" s="8"/>
      <c r="AN7" s="8"/>
      <c r="AO7" s="8"/>
      <c r="AP7" s="8"/>
    </row>
    <row r="8" spans="30:42" x14ac:dyDescent="0.25">
      <c r="AD8" s="8"/>
      <c r="AE8" s="8"/>
      <c r="AF8" s="8"/>
      <c r="AG8" s="8"/>
      <c r="AH8" s="8"/>
      <c r="AI8" s="8"/>
      <c r="AJ8" s="8"/>
      <c r="AK8" s="8"/>
      <c r="AL8" s="8"/>
      <c r="AM8" s="8"/>
      <c r="AN8" s="8"/>
      <c r="AO8" s="8"/>
      <c r="AP8" s="8"/>
    </row>
    <row r="9" spans="30:42" x14ac:dyDescent="0.25">
      <c r="AD9" s="8"/>
      <c r="AE9" s="8"/>
      <c r="AF9" s="8"/>
      <c r="AG9" s="8"/>
      <c r="AH9" s="8"/>
      <c r="AI9" s="8"/>
      <c r="AJ9" s="8"/>
      <c r="AK9" s="8"/>
      <c r="AL9" s="8"/>
      <c r="AM9" s="8"/>
      <c r="AN9" s="8"/>
      <c r="AO9" s="8"/>
      <c r="AP9" s="8"/>
    </row>
    <row r="10" spans="30:42" x14ac:dyDescent="0.25">
      <c r="AD10" s="8"/>
      <c r="AE10" s="8"/>
      <c r="AF10" s="8"/>
      <c r="AG10" s="8"/>
      <c r="AH10" s="8"/>
      <c r="AI10" s="8"/>
      <c r="AJ10" s="8"/>
      <c r="AK10" s="8"/>
      <c r="AL10" s="8"/>
      <c r="AM10" s="8"/>
      <c r="AN10" s="8"/>
      <c r="AO10" s="8"/>
      <c r="AP10" s="8"/>
    </row>
    <row r="11" spans="30:42" x14ac:dyDescent="0.25">
      <c r="AD11" s="8"/>
      <c r="AE11" s="8"/>
      <c r="AF11" s="8"/>
      <c r="AG11" s="8"/>
      <c r="AH11" s="8"/>
      <c r="AI11" s="8"/>
      <c r="AJ11" s="8"/>
      <c r="AK11" s="8"/>
      <c r="AL11" s="8"/>
      <c r="AM11" s="8"/>
      <c r="AN11" s="8"/>
      <c r="AO11" s="8"/>
      <c r="AP11" s="8"/>
    </row>
    <row r="12" spans="30:42" x14ac:dyDescent="0.25">
      <c r="AD12" s="8"/>
      <c r="AE12" s="8"/>
      <c r="AF12" s="8"/>
      <c r="AG12" s="8"/>
      <c r="AH12" s="8"/>
      <c r="AI12" s="8"/>
      <c r="AJ12" s="8"/>
      <c r="AK12" s="8"/>
      <c r="AL12" s="8"/>
      <c r="AM12" s="8"/>
      <c r="AN12" s="8"/>
      <c r="AO12" s="8"/>
      <c r="AP12" s="8"/>
    </row>
    <row r="13" spans="30:42" x14ac:dyDescent="0.25">
      <c r="AD13" s="8"/>
      <c r="AE13" s="8"/>
      <c r="AF13" s="8"/>
      <c r="AG13" s="8"/>
      <c r="AH13" s="8"/>
      <c r="AI13" s="8"/>
      <c r="AJ13" s="8"/>
      <c r="AK13" s="8"/>
      <c r="AL13" s="8"/>
      <c r="AM13" s="8"/>
      <c r="AN13" s="8"/>
      <c r="AO13" s="8"/>
      <c r="AP13" s="8"/>
    </row>
    <row r="14" spans="30:42" x14ac:dyDescent="0.25">
      <c r="AD14" s="8"/>
      <c r="AE14" s="8"/>
      <c r="AF14" s="8"/>
      <c r="AG14" s="8"/>
      <c r="AH14" s="8"/>
      <c r="AI14" s="8"/>
      <c r="AJ14" s="8"/>
      <c r="AK14" s="8"/>
      <c r="AL14" s="8"/>
      <c r="AM14" s="8"/>
      <c r="AN14" s="8"/>
      <c r="AO14" s="8"/>
      <c r="AP14" s="8"/>
    </row>
    <row r="15" spans="30:42" x14ac:dyDescent="0.25">
      <c r="AD15" s="8"/>
      <c r="AE15" s="8"/>
      <c r="AF15" s="8"/>
      <c r="AG15" s="8"/>
      <c r="AH15" s="8"/>
      <c r="AI15" s="8"/>
      <c r="AJ15" s="8"/>
      <c r="AK15" s="8"/>
      <c r="AL15" s="8"/>
      <c r="AM15" s="8"/>
      <c r="AN15" s="8"/>
      <c r="AO15" s="8"/>
      <c r="AP15" s="8"/>
    </row>
    <row r="16" spans="30:42" x14ac:dyDescent="0.25">
      <c r="AD16" s="8"/>
      <c r="AE16" s="8"/>
      <c r="AF16" s="8"/>
      <c r="AG16" s="8"/>
      <c r="AH16" s="8"/>
      <c r="AI16" s="8"/>
      <c r="AJ16" s="8"/>
      <c r="AK16" s="8"/>
      <c r="AL16" s="8"/>
      <c r="AM16" s="8"/>
      <c r="AN16" s="8"/>
      <c r="AO16" s="8"/>
      <c r="AP16" s="8"/>
    </row>
    <row r="17" spans="30:42" x14ac:dyDescent="0.25">
      <c r="AD17" s="8"/>
      <c r="AE17" s="8"/>
      <c r="AF17" s="8"/>
      <c r="AG17" s="8"/>
      <c r="AH17" s="8"/>
      <c r="AI17" s="8"/>
      <c r="AJ17" s="8"/>
      <c r="AK17" s="8"/>
      <c r="AL17" s="8"/>
      <c r="AM17" s="8"/>
      <c r="AN17" s="8"/>
      <c r="AO17" s="8"/>
      <c r="AP17" s="8"/>
    </row>
    <row r="18" spans="30:42" x14ac:dyDescent="0.25">
      <c r="AD18" s="8"/>
      <c r="AE18" s="8"/>
      <c r="AF18" s="8"/>
      <c r="AG18" s="8"/>
      <c r="AH18" s="8"/>
      <c r="AI18" s="8"/>
      <c r="AJ18" s="8"/>
      <c r="AK18" s="8"/>
      <c r="AL18" s="8"/>
      <c r="AM18" s="8"/>
      <c r="AN18" s="8"/>
      <c r="AO18" s="8"/>
      <c r="AP18" s="8"/>
    </row>
    <row r="19" spans="30:42" x14ac:dyDescent="0.25">
      <c r="AD19" s="8"/>
      <c r="AE19" s="8"/>
      <c r="AF19" s="8"/>
      <c r="AG19" s="8"/>
      <c r="AH19" s="8"/>
      <c r="AI19" s="8"/>
      <c r="AJ19" s="8"/>
      <c r="AK19" s="8"/>
      <c r="AL19" s="8"/>
      <c r="AM19" s="8"/>
      <c r="AN19" s="8"/>
      <c r="AO19" s="8"/>
      <c r="AP19" s="8"/>
    </row>
    <row r="20" spans="30:42" x14ac:dyDescent="0.25">
      <c r="AD20" s="8"/>
      <c r="AE20" s="8"/>
      <c r="AF20" s="8"/>
      <c r="AG20" s="8"/>
      <c r="AH20" s="8"/>
      <c r="AI20" s="8"/>
      <c r="AJ20" s="8"/>
      <c r="AK20" s="8"/>
      <c r="AL20" s="8"/>
      <c r="AM20" s="8"/>
      <c r="AN20" s="8"/>
      <c r="AO20" s="8"/>
      <c r="AP20" s="8"/>
    </row>
    <row r="21" spans="30:42" x14ac:dyDescent="0.25">
      <c r="AD21" s="8"/>
      <c r="AE21" s="8"/>
      <c r="AF21" s="8"/>
      <c r="AG21" s="8"/>
      <c r="AH21" s="8"/>
      <c r="AI21" s="8"/>
      <c r="AJ21" s="8"/>
      <c r="AK21" s="8"/>
      <c r="AL21" s="8"/>
      <c r="AM21" s="8"/>
      <c r="AN21" s="8"/>
      <c r="AO21" s="8"/>
      <c r="AP21" s="8"/>
    </row>
    <row r="22" spans="30:42" x14ac:dyDescent="0.25">
      <c r="AD22" s="8"/>
      <c r="AE22" s="8"/>
      <c r="AF22" s="8"/>
      <c r="AG22" s="8"/>
      <c r="AH22" s="8"/>
      <c r="AI22" s="8"/>
      <c r="AJ22" s="8"/>
      <c r="AK22" s="8"/>
      <c r="AL22" s="8"/>
      <c r="AM22" s="8"/>
      <c r="AN22" s="8"/>
      <c r="AO22" s="8"/>
      <c r="AP22" s="8"/>
    </row>
    <row r="23" spans="30:42" x14ac:dyDescent="0.25">
      <c r="AD23" s="8"/>
      <c r="AE23" s="8"/>
      <c r="AF23" s="8"/>
      <c r="AG23" s="8"/>
      <c r="AH23" s="8"/>
      <c r="AI23" s="8"/>
      <c r="AJ23" s="8"/>
      <c r="AK23" s="8"/>
      <c r="AL23" s="8"/>
      <c r="AM23" s="8"/>
      <c r="AN23" s="8"/>
      <c r="AO23" s="8"/>
      <c r="AP23" s="8"/>
    </row>
    <row r="24" spans="30:42" x14ac:dyDescent="0.25">
      <c r="AD24" s="8"/>
      <c r="AE24" s="8"/>
      <c r="AF24" s="8"/>
      <c r="AG24" s="8"/>
      <c r="AH24" s="8"/>
      <c r="AI24" s="8"/>
      <c r="AJ24" s="8"/>
      <c r="AK24" s="8"/>
      <c r="AL24" s="8"/>
      <c r="AM24" s="8"/>
      <c r="AN24" s="8"/>
      <c r="AO24" s="8"/>
      <c r="AP24" s="8"/>
    </row>
    <row r="25" spans="30:42" x14ac:dyDescent="0.25">
      <c r="AD25" s="8"/>
      <c r="AE25" s="8"/>
      <c r="AF25" s="8"/>
      <c r="AG25" s="8"/>
      <c r="AH25" s="8"/>
      <c r="AI25" s="8"/>
      <c r="AJ25" s="8"/>
      <c r="AK25" s="8"/>
      <c r="AL25" s="8"/>
      <c r="AM25" s="8"/>
      <c r="AN25" s="8"/>
      <c r="AO25" s="8"/>
      <c r="AP25" s="8"/>
    </row>
    <row r="26" spans="30:42" x14ac:dyDescent="0.25">
      <c r="AD26" s="8"/>
      <c r="AE26" s="8"/>
      <c r="AF26" s="8"/>
      <c r="AG26" s="8"/>
      <c r="AH26" s="8"/>
      <c r="AI26" s="8"/>
      <c r="AJ26" s="8"/>
      <c r="AK26" s="8"/>
      <c r="AL26" s="8"/>
      <c r="AM26" s="8"/>
      <c r="AN26" s="8"/>
      <c r="AO26" s="8"/>
      <c r="AP26" s="8"/>
    </row>
    <row r="27" spans="30:42" x14ac:dyDescent="0.25">
      <c r="AD27" s="8"/>
      <c r="AE27" s="8"/>
      <c r="AF27" s="8"/>
      <c r="AG27" s="8"/>
      <c r="AH27" s="8"/>
      <c r="AI27" s="8"/>
      <c r="AJ27" s="8"/>
      <c r="AK27" s="8"/>
      <c r="AL27" s="8"/>
      <c r="AM27" s="8"/>
      <c r="AN27" s="8"/>
      <c r="AO27" s="8"/>
      <c r="AP27" s="8"/>
    </row>
    <row r="28" spans="30:42" x14ac:dyDescent="0.25">
      <c r="AD28" s="8"/>
      <c r="AE28" s="8"/>
      <c r="AF28" s="8"/>
      <c r="AG28" s="8"/>
      <c r="AH28" s="8"/>
      <c r="AI28" s="8"/>
      <c r="AJ28" s="8"/>
      <c r="AK28" s="8"/>
      <c r="AL28" s="8"/>
      <c r="AM28" s="8"/>
      <c r="AN28" s="8"/>
      <c r="AO28" s="8"/>
      <c r="AP28" s="8"/>
    </row>
    <row r="29" spans="30:42" x14ac:dyDescent="0.25">
      <c r="AD29" s="8"/>
      <c r="AE29" s="8"/>
      <c r="AF29" s="8"/>
      <c r="AG29" s="8"/>
      <c r="AH29" s="8"/>
      <c r="AI29" s="8"/>
      <c r="AJ29" s="8"/>
      <c r="AK29" s="8"/>
      <c r="AL29" s="8"/>
      <c r="AM29" s="8"/>
      <c r="AN29" s="8"/>
      <c r="AO29" s="8"/>
      <c r="AP29" s="8"/>
    </row>
    <row r="30" spans="30:42" x14ac:dyDescent="0.25">
      <c r="AD30" s="8"/>
      <c r="AE30" s="8"/>
      <c r="AF30" s="8"/>
      <c r="AG30" s="8"/>
      <c r="AH30" s="8"/>
      <c r="AI30" s="8"/>
      <c r="AJ30" s="8"/>
      <c r="AK30" s="8"/>
      <c r="AL30" s="8"/>
      <c r="AM30" s="8"/>
      <c r="AN30" s="8"/>
      <c r="AO30" s="8"/>
      <c r="AP30" s="8"/>
    </row>
    <row r="31" spans="30:42" x14ac:dyDescent="0.25">
      <c r="AD31" s="8"/>
      <c r="AE31" s="8"/>
      <c r="AF31" s="8"/>
      <c r="AG31" s="8"/>
      <c r="AH31" s="8"/>
      <c r="AI31" s="8"/>
      <c r="AJ31" s="8"/>
      <c r="AK31" s="8"/>
      <c r="AL31" s="8"/>
      <c r="AM31" s="8"/>
      <c r="AN31" s="8"/>
      <c r="AO31" s="8"/>
      <c r="AP31" s="8"/>
    </row>
    <row r="32" spans="30:42" x14ac:dyDescent="0.25">
      <c r="AD32" s="8"/>
      <c r="AE32" s="8"/>
      <c r="AF32" s="8"/>
      <c r="AG32" s="8"/>
      <c r="AH32" s="8"/>
      <c r="AI32" s="8"/>
      <c r="AJ32" s="8"/>
      <c r="AK32" s="8"/>
      <c r="AL32" s="8"/>
      <c r="AM32" s="8"/>
      <c r="AN32" s="8"/>
      <c r="AO32" s="8"/>
      <c r="AP32" s="8"/>
    </row>
    <row r="33" spans="30:42" x14ac:dyDescent="0.25">
      <c r="AD33" s="8"/>
      <c r="AE33" s="8"/>
      <c r="AF33" s="8"/>
      <c r="AG33" s="8"/>
      <c r="AH33" s="8"/>
      <c r="AI33" s="8"/>
      <c r="AJ33" s="8"/>
      <c r="AK33" s="8"/>
      <c r="AL33" s="8"/>
      <c r="AM33" s="8"/>
      <c r="AN33" s="8"/>
      <c r="AO33" s="8"/>
      <c r="AP33" s="8"/>
    </row>
    <row r="34" spans="30:42" x14ac:dyDescent="0.25">
      <c r="AD34" s="8"/>
      <c r="AE34" s="8"/>
      <c r="AF34" s="8"/>
      <c r="AG34" s="8"/>
      <c r="AH34" s="8"/>
      <c r="AI34" s="8"/>
      <c r="AJ34" s="8"/>
      <c r="AK34" s="8"/>
      <c r="AL34" s="8"/>
      <c r="AM34" s="8"/>
      <c r="AN34" s="8"/>
      <c r="AO34" s="8"/>
      <c r="AP34" s="8"/>
    </row>
    <row r="35" spans="30:42" x14ac:dyDescent="0.25">
      <c r="AD35" s="8"/>
      <c r="AE35" s="8"/>
      <c r="AF35" s="8"/>
      <c r="AG35" s="8"/>
      <c r="AH35" s="8"/>
      <c r="AI35" s="8"/>
      <c r="AJ35" s="8"/>
      <c r="AK35" s="8"/>
      <c r="AL35" s="8"/>
      <c r="AM35" s="8"/>
      <c r="AN35" s="8"/>
      <c r="AO35" s="8"/>
      <c r="AP35" s="8"/>
    </row>
    <row r="36" spans="30:42" x14ac:dyDescent="0.25">
      <c r="AD36" s="8"/>
      <c r="AE36" s="8"/>
      <c r="AF36" s="8"/>
      <c r="AG36" s="8"/>
      <c r="AH36" s="8"/>
      <c r="AI36" s="8"/>
      <c r="AJ36" s="8"/>
      <c r="AK36" s="8"/>
      <c r="AL36" s="8"/>
      <c r="AM36" s="8"/>
      <c r="AN36" s="8"/>
      <c r="AO36" s="8"/>
      <c r="AP36" s="8"/>
    </row>
    <row r="37" spans="30:42" x14ac:dyDescent="0.25">
      <c r="AD37" s="8"/>
      <c r="AE37" s="8"/>
      <c r="AF37" s="8"/>
      <c r="AG37" s="8"/>
      <c r="AH37" s="8"/>
      <c r="AI37" s="8"/>
      <c r="AJ37" s="8"/>
      <c r="AK37" s="8"/>
      <c r="AL37" s="8"/>
      <c r="AM37" s="8"/>
      <c r="AN37" s="8"/>
      <c r="AO37" s="8"/>
      <c r="AP37" s="8"/>
    </row>
    <row r="38" spans="30:42" x14ac:dyDescent="0.25">
      <c r="AD38" s="8"/>
      <c r="AE38" s="8"/>
      <c r="AF38" s="8"/>
      <c r="AG38" s="8"/>
      <c r="AH38" s="8"/>
      <c r="AI38" s="8"/>
      <c r="AJ38" s="8"/>
      <c r="AK38" s="8"/>
      <c r="AL38" s="8"/>
      <c r="AM38" s="8"/>
      <c r="AN38" s="8"/>
      <c r="AO38" s="8"/>
      <c r="AP38" s="8"/>
    </row>
    <row r="39" spans="30:42" x14ac:dyDescent="0.25">
      <c r="AD39" s="8"/>
      <c r="AE39" s="8"/>
      <c r="AF39" s="8"/>
      <c r="AG39" s="8"/>
      <c r="AH39" s="8"/>
      <c r="AI39" s="8"/>
      <c r="AJ39" s="8"/>
      <c r="AK39" s="8"/>
      <c r="AL39" s="8"/>
      <c r="AM39" s="8"/>
      <c r="AN39" s="8"/>
      <c r="AO39" s="8"/>
      <c r="AP39" s="8"/>
    </row>
    <row r="40" spans="30:42" x14ac:dyDescent="0.25">
      <c r="AD40" s="8"/>
      <c r="AE40" s="8"/>
      <c r="AF40" s="8"/>
      <c r="AG40" s="8"/>
      <c r="AH40" s="8"/>
      <c r="AI40" s="8"/>
      <c r="AJ40" s="8"/>
      <c r="AK40" s="8"/>
      <c r="AL40" s="8"/>
      <c r="AM40" s="8"/>
      <c r="AN40" s="8"/>
      <c r="AO40" s="8"/>
      <c r="AP40" s="8"/>
    </row>
    <row r="41" spans="30:42" x14ac:dyDescent="0.25">
      <c r="AD41" s="8"/>
      <c r="AE41" s="8"/>
      <c r="AF41" s="8"/>
      <c r="AG41" s="8"/>
      <c r="AH41" s="8"/>
      <c r="AI41" s="8"/>
      <c r="AJ41" s="8"/>
      <c r="AK41" s="8"/>
      <c r="AL41" s="8"/>
      <c r="AM41" s="8"/>
      <c r="AN41" s="8"/>
      <c r="AO41" s="8"/>
      <c r="AP41" s="8"/>
    </row>
    <row r="42" spans="30:42" x14ac:dyDescent="0.25">
      <c r="AD42" s="8"/>
      <c r="AE42" s="8"/>
      <c r="AF42" s="8"/>
      <c r="AG42" s="8"/>
      <c r="AH42" s="8"/>
      <c r="AI42" s="8"/>
      <c r="AJ42" s="8"/>
      <c r="AK42" s="8"/>
      <c r="AL42" s="8"/>
      <c r="AM42" s="8"/>
      <c r="AN42" s="8"/>
      <c r="AO42" s="8"/>
      <c r="AP42" s="8"/>
    </row>
    <row r="43" spans="30:42" x14ac:dyDescent="0.25">
      <c r="AD43" s="8"/>
      <c r="AE43" s="8"/>
      <c r="AF43" s="8"/>
      <c r="AG43" s="8"/>
      <c r="AH43" s="8"/>
      <c r="AI43" s="8"/>
      <c r="AJ43" s="8"/>
      <c r="AK43" s="8"/>
      <c r="AL43" s="8"/>
      <c r="AM43" s="8"/>
      <c r="AN43" s="8"/>
      <c r="AO43" s="8"/>
      <c r="AP43" s="8"/>
    </row>
    <row r="44" spans="30:42" x14ac:dyDescent="0.25">
      <c r="AD44" s="8"/>
      <c r="AE44" s="8"/>
      <c r="AF44" s="8"/>
      <c r="AG44" s="8"/>
      <c r="AH44" s="8"/>
      <c r="AI44" s="8"/>
      <c r="AJ44" s="8"/>
      <c r="AK44" s="8"/>
      <c r="AL44" s="8"/>
      <c r="AM44" s="8"/>
      <c r="AN44" s="8"/>
      <c r="AO44" s="8"/>
      <c r="AP44" s="8"/>
    </row>
    <row r="45" spans="30:42" x14ac:dyDescent="0.25">
      <c r="AD45" s="8"/>
      <c r="AE45" s="8"/>
      <c r="AF45" s="8"/>
      <c r="AG45" s="8"/>
      <c r="AH45" s="8"/>
      <c r="AI45" s="8"/>
      <c r="AJ45" s="8"/>
      <c r="AK45" s="8"/>
      <c r="AL45" s="8"/>
      <c r="AM45" s="8"/>
      <c r="AN45" s="8"/>
      <c r="AO45" s="8"/>
      <c r="AP45" s="8"/>
    </row>
    <row r="46" spans="30:42" x14ac:dyDescent="0.25">
      <c r="AD46" s="8"/>
      <c r="AE46" s="8"/>
      <c r="AF46" s="8"/>
      <c r="AG46" s="8"/>
      <c r="AH46" s="8"/>
      <c r="AI46" s="8"/>
      <c r="AJ46" s="8"/>
      <c r="AK46" s="8"/>
      <c r="AL46" s="8"/>
      <c r="AM46" s="8"/>
      <c r="AN46" s="8"/>
      <c r="AO46" s="8"/>
      <c r="AP46" s="8"/>
    </row>
    <row r="47" spans="30:42" x14ac:dyDescent="0.25">
      <c r="AD47" s="8"/>
      <c r="AE47" s="8"/>
      <c r="AF47" s="8"/>
      <c r="AG47" s="8"/>
      <c r="AH47" s="8"/>
      <c r="AI47" s="8"/>
      <c r="AJ47" s="8"/>
      <c r="AK47" s="8"/>
      <c r="AL47" s="8"/>
      <c r="AM47" s="8"/>
      <c r="AN47" s="8"/>
      <c r="AO47" s="8"/>
      <c r="AP47" s="8"/>
    </row>
    <row r="48" spans="30:42" x14ac:dyDescent="0.25">
      <c r="AD48" s="8"/>
      <c r="AE48" s="8"/>
      <c r="AF48" s="8"/>
      <c r="AG48" s="8"/>
      <c r="AH48" s="8"/>
      <c r="AI48" s="8"/>
      <c r="AJ48" s="8"/>
      <c r="AK48" s="8"/>
      <c r="AL48" s="8"/>
      <c r="AM48" s="8"/>
      <c r="AN48" s="8"/>
      <c r="AO48" s="8"/>
      <c r="AP48" s="8"/>
    </row>
    <row r="49" spans="30:42" x14ac:dyDescent="0.25">
      <c r="AD49" s="8"/>
      <c r="AE49" s="8"/>
      <c r="AF49" s="8"/>
      <c r="AG49" s="8"/>
      <c r="AH49" s="8"/>
      <c r="AI49" s="8"/>
      <c r="AJ49" s="8"/>
      <c r="AK49" s="8"/>
      <c r="AL49" s="8"/>
      <c r="AM49" s="8"/>
      <c r="AN49" s="8"/>
      <c r="AO49" s="8"/>
      <c r="AP49" s="8"/>
    </row>
    <row r="50" spans="30:42" x14ac:dyDescent="0.25">
      <c r="AD50" s="8"/>
      <c r="AE50" s="8"/>
      <c r="AF50" s="8"/>
      <c r="AG50" s="8"/>
      <c r="AH50" s="8"/>
      <c r="AI50" s="8"/>
      <c r="AJ50" s="8"/>
      <c r="AK50" s="8"/>
      <c r="AL50" s="8"/>
      <c r="AM50" s="8"/>
      <c r="AN50" s="8"/>
      <c r="AO50" s="8"/>
      <c r="AP50" s="8"/>
    </row>
    <row r="51" spans="30:42" x14ac:dyDescent="0.25">
      <c r="AD51" s="8"/>
      <c r="AE51" s="8"/>
      <c r="AF51" s="8"/>
      <c r="AG51" s="8"/>
      <c r="AH51" s="8"/>
      <c r="AI51" s="8"/>
      <c r="AJ51" s="8"/>
      <c r="AK51" s="8"/>
      <c r="AL51" s="8"/>
      <c r="AM51" s="8"/>
      <c r="AN51" s="8"/>
      <c r="AO51" s="8"/>
      <c r="AP51" s="8"/>
    </row>
    <row r="52" spans="30:42" x14ac:dyDescent="0.25">
      <c r="AD52" s="8"/>
      <c r="AE52" s="8"/>
      <c r="AF52" s="8"/>
      <c r="AG52" s="8"/>
      <c r="AH52" s="8"/>
      <c r="AI52" s="8"/>
      <c r="AJ52" s="8"/>
      <c r="AK52" s="8"/>
      <c r="AL52" s="8"/>
      <c r="AM52" s="8"/>
      <c r="AN52" s="8"/>
      <c r="AO52" s="8"/>
      <c r="AP52" s="8"/>
    </row>
    <row r="53" spans="30:42" x14ac:dyDescent="0.25">
      <c r="AD53" s="8"/>
      <c r="AE53" s="8"/>
      <c r="AF53" s="8"/>
      <c r="AG53" s="8"/>
      <c r="AH53" s="8"/>
      <c r="AI53" s="8"/>
      <c r="AJ53" s="8"/>
      <c r="AK53" s="8"/>
      <c r="AL53" s="8"/>
      <c r="AM53" s="8"/>
      <c r="AN53" s="8"/>
      <c r="AO53" s="8"/>
      <c r="AP53" s="8"/>
    </row>
    <row r="54" spans="30:42" x14ac:dyDescent="0.25">
      <c r="AD54" s="8"/>
      <c r="AE54" s="8"/>
      <c r="AF54" s="8"/>
      <c r="AG54" s="8"/>
      <c r="AH54" s="8"/>
      <c r="AI54" s="8"/>
      <c r="AJ54" s="8"/>
      <c r="AK54" s="8"/>
      <c r="AL54" s="8"/>
      <c r="AM54" s="8"/>
      <c r="AN54" s="8"/>
      <c r="AO54" s="8"/>
      <c r="AP54" s="8"/>
    </row>
    <row r="55" spans="30:42" x14ac:dyDescent="0.25">
      <c r="AD55" s="8"/>
      <c r="AE55" s="8"/>
      <c r="AF55" s="8"/>
      <c r="AG55" s="8"/>
      <c r="AH55" s="8"/>
      <c r="AI55" s="8"/>
      <c r="AJ55" s="8"/>
      <c r="AK55" s="8"/>
      <c r="AL55" s="8"/>
      <c r="AM55" s="8"/>
      <c r="AN55" s="8"/>
      <c r="AO55" s="8"/>
      <c r="AP55" s="8"/>
    </row>
    <row r="56" spans="30:42" x14ac:dyDescent="0.25">
      <c r="AD56" s="8"/>
      <c r="AE56" s="8"/>
      <c r="AF56" s="8"/>
      <c r="AG56" s="8"/>
      <c r="AH56" s="8"/>
      <c r="AI56" s="8"/>
      <c r="AJ56" s="8"/>
      <c r="AK56" s="8"/>
      <c r="AL56" s="8"/>
      <c r="AM56" s="8"/>
      <c r="AN56" s="8"/>
      <c r="AO56" s="8"/>
      <c r="AP56" s="8"/>
    </row>
    <row r="57" spans="30:42" x14ac:dyDescent="0.25">
      <c r="AD57" s="8"/>
      <c r="AE57" s="8"/>
      <c r="AF57" s="8"/>
      <c r="AG57" s="8"/>
      <c r="AH57" s="8"/>
      <c r="AI57" s="8"/>
      <c r="AJ57" s="8"/>
      <c r="AK57" s="8"/>
      <c r="AL57" s="8"/>
      <c r="AM57" s="8"/>
      <c r="AN57" s="8"/>
      <c r="AO57" s="8"/>
      <c r="AP57" s="8"/>
    </row>
    <row r="58" spans="30:42" x14ac:dyDescent="0.25">
      <c r="AD58" s="8"/>
      <c r="AE58" s="8"/>
      <c r="AF58" s="8"/>
      <c r="AG58" s="8"/>
      <c r="AH58" s="8"/>
      <c r="AI58" s="8"/>
      <c r="AJ58" s="8"/>
      <c r="AK58" s="8"/>
      <c r="AL58" s="8"/>
      <c r="AM58" s="8"/>
      <c r="AN58" s="8"/>
      <c r="AO58" s="8"/>
      <c r="AP58" s="8"/>
    </row>
    <row r="59" spans="30:42" x14ac:dyDescent="0.25">
      <c r="AD59" s="8"/>
      <c r="AE59" s="8"/>
      <c r="AF59" s="8"/>
      <c r="AG59" s="8"/>
      <c r="AH59" s="8"/>
      <c r="AI59" s="8"/>
      <c r="AJ59" s="8"/>
      <c r="AK59" s="8"/>
      <c r="AL59" s="8"/>
      <c r="AM59" s="8"/>
      <c r="AN59" s="8"/>
      <c r="AO59" s="8"/>
      <c r="AP59" s="8"/>
    </row>
    <row r="60" spans="30:42" x14ac:dyDescent="0.25">
      <c r="AD60" s="8"/>
      <c r="AE60" s="8"/>
      <c r="AF60" s="8"/>
      <c r="AG60" s="8"/>
      <c r="AH60" s="8"/>
      <c r="AI60" s="8"/>
      <c r="AJ60" s="8"/>
      <c r="AK60" s="8"/>
      <c r="AL60" s="8"/>
      <c r="AM60" s="8"/>
      <c r="AN60" s="8"/>
      <c r="AO60" s="8"/>
      <c r="AP60" s="8"/>
    </row>
    <row r="61" spans="30:42" x14ac:dyDescent="0.25">
      <c r="AD61" s="8"/>
      <c r="AE61" s="8"/>
      <c r="AF61" s="8"/>
      <c r="AG61" s="8"/>
      <c r="AH61" s="8"/>
      <c r="AI61" s="8"/>
      <c r="AJ61" s="8"/>
      <c r="AK61" s="8"/>
      <c r="AL61" s="8"/>
      <c r="AM61" s="8"/>
      <c r="AN61" s="8"/>
      <c r="AO61" s="8"/>
      <c r="AP61" s="8"/>
    </row>
    <row r="62" spans="30:42" x14ac:dyDescent="0.25">
      <c r="AD62" s="8"/>
      <c r="AE62" s="8"/>
      <c r="AF62" s="8"/>
      <c r="AG62" s="8"/>
      <c r="AH62" s="8"/>
      <c r="AI62" s="8"/>
      <c r="AJ62" s="8"/>
      <c r="AK62" s="8"/>
      <c r="AL62" s="8"/>
      <c r="AM62" s="8"/>
      <c r="AN62" s="8"/>
      <c r="AO62" s="8"/>
      <c r="AP62" s="8"/>
    </row>
    <row r="63" spans="30:42" x14ac:dyDescent="0.25">
      <c r="AD63" s="8"/>
      <c r="AE63" s="8"/>
      <c r="AF63" s="8"/>
      <c r="AG63" s="8"/>
      <c r="AH63" s="8"/>
      <c r="AI63" s="8"/>
      <c r="AJ63" s="8"/>
      <c r="AK63" s="8"/>
      <c r="AL63" s="8"/>
      <c r="AM63" s="8"/>
      <c r="AN63" s="8"/>
      <c r="AO63" s="8"/>
      <c r="AP63" s="8"/>
    </row>
    <row r="64" spans="30:42" x14ac:dyDescent="0.25">
      <c r="AD64" s="8"/>
      <c r="AE64" s="8"/>
      <c r="AF64" s="8"/>
      <c r="AG64" s="8"/>
      <c r="AH64" s="8"/>
      <c r="AI64" s="8"/>
      <c r="AJ64" s="8"/>
      <c r="AK64" s="8"/>
      <c r="AL64" s="8"/>
      <c r="AM64" s="8"/>
      <c r="AN64" s="8"/>
      <c r="AO64" s="8"/>
      <c r="AP64" s="8"/>
    </row>
    <row r="65" spans="30:42" x14ac:dyDescent="0.25">
      <c r="AD65" s="8"/>
      <c r="AE65" s="8"/>
      <c r="AF65" s="8"/>
      <c r="AG65" s="8"/>
      <c r="AH65" s="8"/>
      <c r="AI65" s="8"/>
      <c r="AJ65" s="8"/>
      <c r="AK65" s="8"/>
      <c r="AL65" s="8"/>
      <c r="AM65" s="8"/>
      <c r="AN65" s="8"/>
      <c r="AO65" s="8"/>
      <c r="AP65" s="8"/>
    </row>
    <row r="66" spans="30:42" x14ac:dyDescent="0.25">
      <c r="AD66" s="8"/>
      <c r="AE66" s="8"/>
      <c r="AF66" s="8"/>
      <c r="AG66" s="8"/>
      <c r="AH66" s="8"/>
      <c r="AI66" s="8"/>
      <c r="AJ66" s="8"/>
      <c r="AK66" s="8"/>
      <c r="AL66" s="8"/>
      <c r="AM66" s="8"/>
      <c r="AN66" s="8"/>
      <c r="AO66" s="8"/>
      <c r="AP66" s="8"/>
    </row>
    <row r="67" spans="30:42" x14ac:dyDescent="0.25">
      <c r="AD67" s="9"/>
      <c r="AE67" s="9"/>
      <c r="AF67" s="9"/>
      <c r="AG67" s="9"/>
      <c r="AH67" s="9"/>
      <c r="AI67" s="9"/>
      <c r="AJ67" s="9"/>
      <c r="AK67" s="9"/>
      <c r="AL67" s="9"/>
      <c r="AM67" s="9"/>
      <c r="AN67" s="9"/>
      <c r="AO67" s="9"/>
      <c r="AP67" s="9"/>
    </row>
    <row r="68" spans="30:42" x14ac:dyDescent="0.25">
      <c r="AD68" s="9"/>
      <c r="AE68" s="9"/>
      <c r="AF68" s="9"/>
      <c r="AG68" s="9"/>
      <c r="AH68" s="9"/>
      <c r="AI68" s="9"/>
      <c r="AJ68" s="9"/>
      <c r="AK68" s="9"/>
      <c r="AL68" s="9"/>
      <c r="AM68" s="9"/>
      <c r="AN68" s="9"/>
      <c r="AO68" s="9"/>
      <c r="AP68" s="9"/>
    </row>
    <row r="69" spans="30:42" x14ac:dyDescent="0.25">
      <c r="AD69" s="9"/>
      <c r="AE69" s="9"/>
      <c r="AF69" s="9"/>
      <c r="AG69" s="9"/>
      <c r="AH69" s="9"/>
      <c r="AI69" s="9"/>
      <c r="AJ69" s="9"/>
      <c r="AK69" s="9"/>
      <c r="AL69" s="9"/>
      <c r="AM69" s="9"/>
      <c r="AN69" s="9"/>
      <c r="AO69" s="9"/>
      <c r="AP69" s="9"/>
    </row>
    <row r="70" spans="30:42" x14ac:dyDescent="0.25">
      <c r="AD70" s="9"/>
      <c r="AE70" s="9"/>
      <c r="AF70" s="9"/>
      <c r="AG70" s="9"/>
      <c r="AH70" s="9"/>
      <c r="AI70" s="9"/>
      <c r="AJ70" s="9"/>
      <c r="AK70" s="9"/>
      <c r="AL70" s="9"/>
      <c r="AM70" s="9"/>
      <c r="AN70" s="9"/>
      <c r="AO70" s="9"/>
      <c r="AP70" s="9"/>
    </row>
    <row r="71" spans="30:42" x14ac:dyDescent="0.25">
      <c r="AD71" s="9"/>
      <c r="AE71" s="9"/>
      <c r="AF71" s="9"/>
      <c r="AG71" s="9"/>
      <c r="AH71" s="9"/>
      <c r="AI71" s="9"/>
      <c r="AJ71" s="9"/>
      <c r="AK71" s="9"/>
      <c r="AL71" s="9"/>
      <c r="AM71" s="9"/>
      <c r="AN71" s="9"/>
      <c r="AO71" s="9"/>
      <c r="AP71" s="9"/>
    </row>
    <row r="72" spans="30:42" x14ac:dyDescent="0.25">
      <c r="AD72" s="9"/>
      <c r="AE72" s="9"/>
      <c r="AF72" s="9"/>
      <c r="AG72" s="9"/>
      <c r="AH72" s="9"/>
      <c r="AI72" s="9"/>
      <c r="AJ72" s="9"/>
      <c r="AK72" s="9"/>
      <c r="AL72" s="9"/>
      <c r="AM72" s="9"/>
      <c r="AN72" s="9"/>
      <c r="AO72" s="9"/>
      <c r="AP72"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3CF74825ED4B46AA64AAA3BCDBE70E" ma:contentTypeVersion="13" ma:contentTypeDescription="Create a new document." ma:contentTypeScope="" ma:versionID="8141b502fc57fd947e804011b4fa8337">
  <xsd:schema xmlns:xsd="http://www.w3.org/2001/XMLSchema" xmlns:xs="http://www.w3.org/2001/XMLSchema" xmlns:p="http://schemas.microsoft.com/office/2006/metadata/properties" xmlns:ns3="2cc11bbf-96c4-48ac-82c9-51fa085b1f8f" xmlns:ns4="8b87b645-ce81-4b77-b4dc-a8895d6ffa3f" targetNamespace="http://schemas.microsoft.com/office/2006/metadata/properties" ma:root="true" ma:fieldsID="ac05dce0a3fbe47f48e3950a5406eb51" ns3:_="" ns4:_="">
    <xsd:import namespace="2cc11bbf-96c4-48ac-82c9-51fa085b1f8f"/>
    <xsd:import namespace="8b87b645-ce81-4b77-b4dc-a8895d6ffa3f"/>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c11bbf-96c4-48ac-82c9-51fa085b1f8f"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87b645-ce81-4b77-b4dc-a8895d6ffa3f"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2cc11bbf-96c4-48ac-82c9-51fa085b1f8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363AC2-4218-4259-8ED8-C034B5751F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c11bbf-96c4-48ac-82c9-51fa085b1f8f"/>
    <ds:schemaRef ds:uri="8b87b645-ce81-4b77-b4dc-a8895d6ffa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4C2EA5E-F3C8-47B8-A2A7-3AC897A4ADC1}">
  <ds:schemaRefs>
    <ds:schemaRef ds:uri="http://purl.org/dc/elements/1.1/"/>
    <ds:schemaRef ds:uri="2cc11bbf-96c4-48ac-82c9-51fa085b1f8f"/>
    <ds:schemaRef ds:uri="http://schemas.microsoft.com/office/infopath/2007/PartnerControls"/>
    <ds:schemaRef ds:uri="http://purl.org/dc/dcmitype/"/>
    <ds:schemaRef ds:uri="8b87b645-ce81-4b77-b4dc-a8895d6ffa3f"/>
    <ds:schemaRef ds:uri="http://schemas.microsoft.com/office/2006/documentManagement/types"/>
    <ds:schemaRef ds:uri="http://www.w3.org/XML/1998/namespace"/>
    <ds:schemaRef ds:uri="http://schemas.microsoft.com/office/2006/metadata/properties"/>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9511CA78-0FFA-4305-BCA6-3E0EA366D5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TITLE BY YEAR</vt:lpstr>
      <vt:lpstr>MOVIR VS SERIES</vt:lpstr>
      <vt:lpstr>TITLE BY GENRE</vt:lpstr>
      <vt:lpstr>TITLE BY SEASONS</vt:lpstr>
      <vt:lpstr>TITLE BY COUNTRY</vt:lpstr>
      <vt:lpstr>TITLE BY RATING</vt:lpstr>
      <vt:lpstr>netdata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MAURYA VISHAL RAMAVADH NIRMALA</dc:creator>
  <cp:lastModifiedBy>MAURYA VISHAL RAMAVADH NIRMALA</cp:lastModifiedBy>
  <dcterms:created xsi:type="dcterms:W3CDTF">2025-05-24T07:19:34Z</dcterms:created>
  <dcterms:modified xsi:type="dcterms:W3CDTF">2026-01-21T15:05:39Z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0x010100803CF74825ED4B46AA64AAA3BCDBE70E</vt:lpwstr>
  </property>
</Properties>
</file>